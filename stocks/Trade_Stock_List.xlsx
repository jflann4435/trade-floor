
<file path=[Content_Types].xml><?xml version="1.0" encoding="utf-8"?>
<Types xmlns="http://schemas.openxmlformats.org/package/2006/content-types">
  <Default Extension="vml" ContentType="application/vnd.openxmlformats-officedocument.vmlDrawing"/>
  <Default Extension="xml" ContentType="application/xml"/>
  <Default Extension="jpeg" ContentType="image/jpeg"/>
  <Default Extension="wmf" ContentType="image/x-wmf"/>
  <Default Extension="png" ContentType="image/png"/>
  <Default Extension="rels" ContentType="application/vnd.openxmlformats-package.relationships+xml"/>
  <Default Extension="bin" ContentType="application/vnd.openxmlformats-officedocument.oleObject"/>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worksheets/sheet3.xml" ContentType="application/vnd.openxmlformats-officedocument.spreadsheetml.worksheet+xml"/>
  <Override PartName="/xl/worksheets/sheet2.xml" ContentType="application/vnd.openxmlformats-officedocument.spreadsheetml.worksheet+xml"/>
  <Override PartName="/docProps/app.xml" ContentType="application/vnd.openxmlformats-officedocument.extended-properties+xml"/>
  <Override PartName="/xl/worksheets/sheet1.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Override PartName="/docProps/core.xml" ContentType="application/vnd.openxmlformats-package.core-properties+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workbookProtection/>
  <bookViews>
    <workbookView xWindow="360" yWindow="15" windowWidth="20955" windowHeight="9720" activeTab="1" showHorizontalScroll="1" showVerticalScroll="1"/>
  </bookViews>
  <sheets>
    <sheet name="Read Me" sheetId="1" state="visible" r:id="rId3"/>
    <sheet name="Stocks" sheetId="2" state="visible" r:id="rId4"/>
    <sheet name="Categories" sheetId="3" state="visible" r:id="rId5"/>
    <sheet name="Lists" sheetId="4" state="hidden" r:id="rId6"/>
  </sheets>
  <definedNames>
    <definedName name="_xlnm._FilterDatabase" localSheetId="1" hidden="1">Stocks!$A$1:$K$106</definedName>
    <definedName name="_xlnm._FilterDatabase" localSheetId="1" hidden="1">Stocks!$A$1:$K$106</definedName>
  </definedNames>
  <calcPr fullCalcOnLoad="1" refMode="A1" iterate="0" iterateCount="100" iterateDelta="0.0001"/>
  <extLst>
    <ext xmlns:x15="http://schemas.microsoft.com/office/spreadsheetml/2010/11/main" uri="{D0CA8CA8-9F24-4464-BF8E-62219DCF47F9}"/>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tc={0019009C-00E6-4E1F-8A0F-001A00C000F8}</author>
    <author>tc={00F8007D-0061-471C-A239-00AD005500EE}</author>
    <author>tc={000400FB-00F2-4734-B8CC-004700BE00E1}</author>
    <author>tc={005E0000-0030-4846-95D6-0009001C0074}</author>
  </authors>
  <commentList>
    <comment ref="K1" authorId="0" xr:uid="{0019009C-00E6-4E1F-8A0F-001A00C000F8}">
      <text>
        <r>
          <rPr>
            <b/>
            <sz val="9"/>
            <rFont val="Tahoma"/>
          </rPr>
          <t>Claude:</t>
        </r>
        <r>
          <rPr>
            <sz val="9"/>
            <rFont val="Tahoma"/>
          </rPr>
          <t xml:space="preserve">
The date you copied the target. The site shows it so students know how fresh it is.
</t>
        </r>
      </text>
    </comment>
    <comment ref="D1" authorId="1" xr:uid="{00F8007D-0061-471C-A239-00AD005500EE}">
      <text>
        <r>
          <rPr>
            <b/>
            <sz val="9"/>
            <rFont val="Tahoma"/>
          </rPr>
          <t xml:space="preserve">Unknown Author:</t>
        </r>
        <r>
          <rPr>
            <sz val="9"/>
            <rFont val="Tahoma"/>
          </rPr>
          <t xml:space="preserve">
Other trade buttons this stock should also appear on. Use exact category names; separate with ';'.
</t>
        </r>
      </text>
    </comment>
    <comment ref="H1" authorId="2" xr:uid="{000400FB-00F2-4734-B8CC-004700BE00E1}">
      <text>
        <r>
          <rPr>
            <b/>
            <sz val="9"/>
            <rFont val="Tahoma"/>
          </rPr>
          <t xml:space="preserve">Unknown Author:</t>
        </r>
        <r>
          <rPr>
            <sz val="9"/>
            <rFont val="Tahoma"/>
          </rPr>
          <t xml:space="preserve">
A question or prompt shown on the stock's card to get students digging.
</t>
        </r>
      </text>
    </comment>
    <comment ref="J1" authorId="3" xr:uid="{005E0000-0030-4846-95D6-0009001C0074}">
      <text>
        <r>
          <rPr>
            <b/>
            <sz val="9"/>
            <rFont val="Tahoma"/>
          </rPr>
          <t>Claude:</t>
        </r>
        <r>
          <rPr>
            <sz val="9"/>
            <rFont val="Tahoma"/>
          </rPr>
          <t xml:space="preserve">
Analysts' average 1-year price target, copied from Yahoo Finance (Summary tab, '1y Target Est'). Free data feeds don't include it, so the site uses whatever you type here. Leave blank to show 'Not entered'.
</t>
        </r>
      </text>
    </comment>
  </commentList>
</comments>
</file>

<file path=xl/sharedStrings.xml><?xml version="1.0" encoding="utf-8"?>
<sst xmlns="http://schemas.openxmlformats.org/spreadsheetml/2006/main" count="272" uniqueCount="272">
  <si>
    <t xml:space="preserve">Trade Stock List — Read Me</t>
  </si>
  <si>
    <t xml:space="preserve">This workbook is the master list for the class stock website. Each trade button on the site will show the rows from the Stocks tab whose Status is 'Include'.</t>
  </si>
  <si>
    <t xml:space="preserve">What to edit</t>
  </si>
  <si>
    <t xml:space="preserve">• Stocks tab: every column is editable. Light-yellow cells are yours. Use the dropdowns for Category, Role and Status.</t>
  </si>
  <si>
    <t xml:space="preserve">• Categories tab: edit the button label, icon, description, button order and benchmark ETF. The count columns are formulas — leave them alone.</t>
  </si>
  <si>
    <t xml:space="preserve">• To add a stock: add a new row at the bottom of the Stocks table (ticker, company, category, role, status, what they do, student hook).</t>
  </si>
  <si>
    <t xml:space="preserve">• Example of a complete row: AXON | Axon Enterprise | Law Enforcement | (blank) | Tools/Supplies | Include | Tasers, body cameras… | Body cams went from rare to standard…</t>
  </si>
  <si>
    <t xml:space="preserve">Status meanings</t>
  </si>
  <si>
    <t xml:space="preserve">• Include — shows on the website.</t>
  </si>
  <si>
    <t xml:space="preserve">• Optional — ready to go, but needs your (or admin's) decision first.</t>
  </si>
  <si>
    <t xml:space="preserve">• Alternate — a good swap-in if a list feels stale or a company changes.</t>
  </si>
  <si>
    <t xml:space="preserve">• Review — something changed (merger, ticker change, delisting); check before using.</t>
  </si>
  <si>
    <t xml:space="preserve">Role meanings (each list aims for one of each)</t>
  </si>
  <si>
    <t xml:space="preserve">• Giant — the big, familiar name.   • Tools/Supplies — makes what's in your shop.   • Distributor — where pros buy.</t>
  </si>
  <si>
    <t xml:space="preserve">• Employer — a company that might hire you.   • Wildcard — smaller or more volatile; more fun to watch.</t>
  </si>
  <si>
    <t xml:space="preserve">'Also In' column</t>
  </si>
  <si>
    <t xml:space="preserve">A stock listed under one primary Category can also appear on other trade buttons with an 'also in' badge. Separate multiple trades with a semicolon, using the exact category names.</t>
  </si>
  <si>
    <t>Benchmarks</t>
  </si>
  <si>
    <t xml:space="preserve">Every page will show SPY (S&amp;P 500) for comparison, plus the sector ETF listed on the Categories tab.</t>
  </si>
  <si>
    <t>Notes</t>
  </si>
  <si>
    <t xml:space="preserve">• Axalta (AXTA, auto refinish paint) was left off on purpose: its merger with AkzoNobel is expected to close in early 2027, which would retire the ticker. PPG fills that slot.</t>
  </si>
  <si>
    <t xml:space="preserve">• Kenvue was also avoided because of its pending acquisition. Re-check the list each semester for mergers and ticker changes.</t>
  </si>
  <si>
    <t xml:space="preserve">• This list is for education, not investment advice.</t>
  </si>
  <si>
    <t xml:space="preserve">• List built Oct 29, 2026.</t>
  </si>
  <si>
    <t xml:space="preserve">1y Target Est (columns J–K on Stocks)</t>
  </si>
  <si>
    <t xml:space="preserve">Free data sources don't provide analyst price targets. Copy them from Yahoo Finance into column J (and the date into K) whenever you like; the nightly update picks them up. Blank cells show as 'Not entered' on the site.</t>
  </si>
  <si>
    <t>Ticker</t>
  </si>
  <si>
    <t>Company</t>
  </si>
  <si>
    <t>Category</t>
  </si>
  <si>
    <t xml:space="preserve">Also In</t>
  </si>
  <si>
    <t>Role</t>
  </si>
  <si>
    <t>Status</t>
  </si>
  <si>
    <t xml:space="preserve">What They Do</t>
  </si>
  <si>
    <t xml:space="preserve">Student Hook</t>
  </si>
  <si>
    <t xml:space="preserve">Teacher Notes</t>
  </si>
  <si>
    <t xml:space="preserve">1y Target Est</t>
  </si>
  <si>
    <t xml:space="preserve">Target As Of</t>
  </si>
  <si>
    <t>AXON</t>
  </si>
  <si>
    <t xml:space="preserve">Axon Enterprise</t>
  </si>
  <si>
    <t xml:space="preserve">Law Enforcement</t>
  </si>
  <si>
    <t>Tools/Supplies</t>
  </si>
  <si>
    <t>Include</t>
  </si>
  <si>
    <t xml:space="preserve">Tasers, body cameras and Evidence.com digital-evidence software.</t>
  </si>
  <si>
    <t xml:space="preserve">Body cams went from rare to standard. How did that show up in Axon's revenue and stock?</t>
  </si>
  <si>
    <t>MSI</t>
  </si>
  <si>
    <t xml:space="preserve">Motorola Solutions</t>
  </si>
  <si>
    <t xml:space="preserve">Police and fire radios, 911 dispatch and command-center software.</t>
  </si>
  <si>
    <t xml:space="preserve">Who pays for the radio on every officer's belt, and how often does it get replaced?</t>
  </si>
  <si>
    <t>FSS</t>
  </si>
  <si>
    <t xml:space="preserve">Federal Signal</t>
  </si>
  <si>
    <t xml:space="preserve">Emergency light bars and sirens; also street sweepers and vacuum trucks.</t>
  </si>
  <si>
    <t xml:space="preserve">A smaller company that's on almost every cruiser. Do smaller stocks move more day to day?</t>
  </si>
  <si>
    <t>SWBI</t>
  </si>
  <si>
    <t xml:space="preserve">Smith &amp; Wesson Brands</t>
  </si>
  <si>
    <t xml:space="preserve">Handguns and rifles for law enforcement and civilian buyers.</t>
  </si>
  <si>
    <t xml:space="preserve">Watch how this stock reacts to news headlines and elections.</t>
  </si>
  <si>
    <t xml:space="preserve">Included per teacher decision (Oct 29, 2026).</t>
  </si>
  <si>
    <t>RGR</t>
  </si>
  <si>
    <t xml:space="preserve">Sturm, Ruger &amp; Co.</t>
  </si>
  <si>
    <t>Optional</t>
  </si>
  <si>
    <t xml:space="preserve">Firearms maker (Ruger, Marlin).</t>
  </si>
  <si>
    <t xml:space="preserve">Compare RGR and SWBI: same industry, same reactions?</t>
  </si>
  <si>
    <t xml:space="preserve">Not included; SWBI chosen as the one firearms stock.</t>
  </si>
  <si>
    <t>PG</t>
  </si>
  <si>
    <t xml:space="preserve">Procter &amp; Gamble</t>
  </si>
  <si>
    <t>Cosmetology</t>
  </si>
  <si>
    <t>Giant</t>
  </si>
  <si>
    <t xml:space="preserve">Pantene, Head &amp; Shoulders, Olay and many household brands; a classic steady dividend stock.</t>
  </si>
  <si>
    <t xml:space="preserve">Compare PG's daily moves to e.l.f.'s. Why is one so much calmer?</t>
  </si>
  <si>
    <t>EL</t>
  </si>
  <si>
    <t xml:space="preserve">Estée Lauder</t>
  </si>
  <si>
    <t xml:space="preserve">MAC, Clinique, Aveda; Aveda also runs cosmetology schools.</t>
  </si>
  <si>
    <t xml:space="preserve">Pull up EL's 5-year chart. What story does it tell?</t>
  </si>
  <si>
    <t>SBH</t>
  </si>
  <si>
    <t xml:space="preserve">Sally Beauty Holdings</t>
  </si>
  <si>
    <t>Distributor</t>
  </si>
  <si>
    <t xml:space="preserve">Sally Beauty stores plus CosmoProf, the supplier for licensed professionals.</t>
  </si>
  <si>
    <t xml:space="preserve">Once you're licensed, where will you buy your supplies?</t>
  </si>
  <si>
    <t>ULTA</t>
  </si>
  <si>
    <t xml:space="preserve">Ulta Beauty</t>
  </si>
  <si>
    <t>Employer</t>
  </si>
  <si>
    <t xml:space="preserve">Beauty retailer with in-store salons that hire licensed stylists.</t>
  </si>
  <si>
    <t xml:space="preserve">Retail plus salon services: which part of the business matters more?</t>
  </si>
  <si>
    <t>ELF</t>
  </si>
  <si>
    <t xml:space="preserve">e.l.f. Beauty</t>
  </si>
  <si>
    <t>Wildcard</t>
  </si>
  <si>
    <t xml:space="preserve">Low-price cosmetics popular with teens; a volatile, fast-moving stock.</t>
  </si>
  <si>
    <t xml:space="preserve">Can a social-media trend show up in a stock price?</t>
  </si>
  <si>
    <t>CARR</t>
  </si>
  <si>
    <t xml:space="preserve">Carrier Global</t>
  </si>
  <si>
    <t>HVAC</t>
  </si>
  <si>
    <t xml:space="preserve">Residential and commercial heating and cooling; Willis Carrier invented modern air conditioning.</t>
  </si>
  <si>
    <t xml:space="preserve">AC was invented in 1902. Is this company still growing?</t>
  </si>
  <si>
    <t>TT</t>
  </si>
  <si>
    <t xml:space="preserve">Trane Technologies</t>
  </si>
  <si>
    <t xml:space="preserve">Commercial and residential HVAC systems.</t>
  </si>
  <si>
    <t xml:space="preserve">Trane vs. Carrier: same industry, different charts?</t>
  </si>
  <si>
    <t>LII</t>
  </si>
  <si>
    <t xml:space="preserve">Lennox International</t>
  </si>
  <si>
    <t xml:space="preserve">Residential furnaces, AC and heat pumps sold directly to contractors.</t>
  </si>
  <si>
    <t xml:space="preserve">Does a hot summer or a cold winter show up in Lennox's results?</t>
  </si>
  <si>
    <t>WSO</t>
  </si>
  <si>
    <t>Watsco</t>
  </si>
  <si>
    <t xml:space="preserve">Largest HVAC/R equipment distributor in North America.</t>
  </si>
  <si>
    <t xml:space="preserve">Where does a tech actually pick up the unit before an install?</t>
  </si>
  <si>
    <t>FIX</t>
  </si>
  <si>
    <t xml:space="preserve">Comfort Systems USA</t>
  </si>
  <si>
    <t>Electrical</t>
  </si>
  <si>
    <t xml:space="preserve">Mechanical and electrical contractor; data-center projects have driven big growth.</t>
  </si>
  <si>
    <t xml:space="preserve">Data centers need huge amounts of cooling. Who does the install work?</t>
  </si>
  <si>
    <t>MSFT</t>
  </si>
  <si>
    <t>Microsoft</t>
  </si>
  <si>
    <t xml:space="preserve">P-Tech / IT</t>
  </si>
  <si>
    <t xml:space="preserve">Windows, Office, Azure cloud and widely used IT certifications.</t>
  </si>
  <si>
    <t xml:space="preserve">Which Microsoft products did you use today?</t>
  </si>
  <si>
    <t>CSCO</t>
  </si>
  <si>
    <t xml:space="preserve">Cisco Systems</t>
  </si>
  <si>
    <t xml:space="preserve">Networking hardware and the CCNA certification.</t>
  </si>
  <si>
    <t xml:space="preserve">Most networks you've used run through Cisco gear. Is it a growth stock or a steady one?</t>
  </si>
  <si>
    <t>NVDA</t>
  </si>
  <si>
    <t>Nvidia</t>
  </si>
  <si>
    <t xml:space="preserve">Graphics and AI chips used in data centers and gaming.</t>
  </si>
  <si>
    <t xml:space="preserve">Look at NVDA's 5-year chart. What changed?</t>
  </si>
  <si>
    <t>IBM</t>
  </si>
  <si>
    <t xml:space="preserve">Hybrid cloud, AI and mainframes; IBM helped create the P-TECH school model.</t>
  </si>
  <si>
    <t xml:space="preserve">The company behind P-TECH: what does it actually sell today?</t>
  </si>
  <si>
    <t>CRWD</t>
  </si>
  <si>
    <t>CrowdStrike</t>
  </si>
  <si>
    <t xml:space="preserve">Cybersecurity software protecting company computers and networks.</t>
  </si>
  <si>
    <t xml:space="preserve">Look up July 2024. What did one bad software update do to the stock?</t>
  </si>
  <si>
    <t xml:space="preserve">Great internet-sleuthing case study.</t>
  </si>
  <si>
    <t>CAT</t>
  </si>
  <si>
    <t>Caterpillar</t>
  </si>
  <si>
    <t xml:space="preserve">Engineering / Manufacturing</t>
  </si>
  <si>
    <t xml:space="preserve">Heavy construction and mining equipment, engines and generators.</t>
  </si>
  <si>
    <t xml:space="preserve">CAT is often called an economic bellwether. Why?</t>
  </si>
  <si>
    <t>ROK</t>
  </si>
  <si>
    <t xml:space="preserve">Rockwell Automation</t>
  </si>
  <si>
    <t xml:space="preserve">Factory automation and Allen-Bradley PLCs.</t>
  </si>
  <si>
    <t xml:space="preserve">Ever programmed an Allen-Bradley PLC? That's Rockwell.</t>
  </si>
  <si>
    <t>LECO</t>
  </si>
  <si>
    <t xml:space="preserve">Lincoln Electric</t>
  </si>
  <si>
    <t xml:space="preserve">Welding machines, wire and consumables.</t>
  </si>
  <si>
    <t xml:space="preserve">What brand is the welder in your shop?</t>
  </si>
  <si>
    <t>FAST</t>
  </si>
  <si>
    <t>Fastenal</t>
  </si>
  <si>
    <t xml:space="preserve">Industrial and construction supplies, including on-site vending machines at factories.</t>
  </si>
  <si>
    <t xml:space="preserve">How does a company that sells nuts and bolts become a big stock?</t>
  </si>
  <si>
    <t>DE</t>
  </si>
  <si>
    <t xml:space="preserve">Deere &amp; Co.</t>
  </si>
  <si>
    <t xml:space="preserve">Agricultural and construction machinery; a major U.S. manufacturing employer.</t>
  </si>
  <si>
    <t xml:space="preserve">How might crop prices affect tractor sales?</t>
  </si>
  <si>
    <t>GE</t>
  </si>
  <si>
    <t xml:space="preserve">GE Aerospace</t>
  </si>
  <si>
    <t xml:space="preserve">Jet engines for commercial and military aircraft.</t>
  </si>
  <si>
    <t xml:space="preserve">GE used to make light bulbs and fridges. What happened?</t>
  </si>
  <si>
    <t>HD</t>
  </si>
  <si>
    <t xml:space="preserve">Home Depot</t>
  </si>
  <si>
    <t>Carpentry</t>
  </si>
  <si>
    <t xml:space="preserve">Electrical; HVAC</t>
  </si>
  <si>
    <t xml:space="preserve">Largest home-improvement retailer, with a big pro-contractor business.</t>
  </si>
  <si>
    <t xml:space="preserve">Does a housing slowdown show up in HD's chart?</t>
  </si>
  <si>
    <t>LOW</t>
  </si>
  <si>
    <t>Lowe's</t>
  </si>
  <si>
    <t xml:space="preserve">Second-largest home-improvement retailer.</t>
  </si>
  <si>
    <t xml:space="preserve">Head-to-head: HD vs. LOW over 1 year and 5 years.</t>
  </si>
  <si>
    <t>WY</t>
  </si>
  <si>
    <t>Weyerhaeuser</t>
  </si>
  <si>
    <t xml:space="preserve">Timberland owner and lumber/wood-products maker.</t>
  </si>
  <si>
    <t xml:space="preserve">Track lumber prices next to WY's stock. Do they move together?</t>
  </si>
  <si>
    <t>SWK</t>
  </si>
  <si>
    <t xml:space="preserve">Stanley Black &amp; Decker</t>
  </si>
  <si>
    <t xml:space="preserve">DeWalt, Craftsman and Stanley tools.</t>
  </si>
  <si>
    <t xml:space="preserve">What brand is your drill?</t>
  </si>
  <si>
    <t>TREX</t>
  </si>
  <si>
    <t xml:space="preserve">Trex Company</t>
  </si>
  <si>
    <t xml:space="preserve">Composite decking made from recycled materials.</t>
  </si>
  <si>
    <t xml:space="preserve">Decks are a summer project. Is there a seasonal pattern?</t>
  </si>
  <si>
    <t>DHI</t>
  </si>
  <si>
    <t xml:space="preserve">D.R. Horton</t>
  </si>
  <si>
    <t>Alternate</t>
  </si>
  <si>
    <t xml:space="preserve">Largest U.S. homebuilder by volume.</t>
  </si>
  <si>
    <t xml:space="preserve">How do mortgage rates affect homebuilders?</t>
  </si>
  <si>
    <t>F</t>
  </si>
  <si>
    <t xml:space="preserve">Ford Motor</t>
  </si>
  <si>
    <t xml:space="preserve">Auto-Tech / AutoBody</t>
  </si>
  <si>
    <t xml:space="preserve">Trucks, cars and EVs; builds the Police Interceptor Utility.</t>
  </si>
  <si>
    <t xml:space="preserve">F-150 vs. EVs: where is Ford's money coming from?</t>
  </si>
  <si>
    <t>TSLA</t>
  </si>
  <si>
    <t>Tesla</t>
  </si>
  <si>
    <t xml:space="preserve">Electric vehicles, batteries and charging; EVs need different service skills.</t>
  </si>
  <si>
    <t xml:space="preserve">Gas vs. EV: compare F and TSLA over 5 years.</t>
  </si>
  <si>
    <t>SNA</t>
  </si>
  <si>
    <t>Snap-on</t>
  </si>
  <si>
    <t xml:space="preserve">The tool truck: hand tools, diagnostic scanners and tool financing.</t>
  </si>
  <si>
    <t xml:space="preserve">Snap-on also lends money to techs for tools. How does that affect the business?</t>
  </si>
  <si>
    <t>ORLY</t>
  </si>
  <si>
    <t xml:space="preserve">O'Reilly Automotive</t>
  </si>
  <si>
    <t xml:space="preserve">Auto-parts stores serving DIY customers and professional shops.</t>
  </si>
  <si>
    <t xml:space="preserve">More older cars on the road means more repairs. Good for O'Reilly?</t>
  </si>
  <si>
    <t>PPG</t>
  </si>
  <si>
    <t xml:space="preserve">PPG Industries</t>
  </si>
  <si>
    <t xml:space="preserve">Paints and coatings, including automotive refinish paint for body shops.</t>
  </si>
  <si>
    <t xml:space="preserve">Body-shop paint is only part of PPG. What else do they make?</t>
  </si>
  <si>
    <t>GM</t>
  </si>
  <si>
    <t xml:space="preserve">General Motors</t>
  </si>
  <si>
    <t xml:space="preserve">Chevrolet, GMC, Buick, Cadillac.</t>
  </si>
  <si>
    <t xml:space="preserve">Ford vs. GM: which has done better lately?</t>
  </si>
  <si>
    <t>CPRT</t>
  </si>
  <si>
    <t>Copart</t>
  </si>
  <si>
    <t xml:space="preserve">Online auctions for wrecked and salvage vehicles.</t>
  </si>
  <si>
    <t xml:space="preserve">Where does a totaled car go after the insurance claim?</t>
  </si>
  <si>
    <t>AAP</t>
  </si>
  <si>
    <t xml:space="preserve">Advance Auto Parts</t>
  </si>
  <si>
    <t xml:space="preserve">Auto-parts retailer in the middle of a turnaround; very volatile in 2026.</t>
  </si>
  <si>
    <t xml:space="preserve">Big rally, big drop. What news moved it?</t>
  </si>
  <si>
    <t>ETN</t>
  </si>
  <si>
    <t>Eaton</t>
  </si>
  <si>
    <t xml:space="preserve">Breakers, panels and power distribution; strong data-center demand.</t>
  </si>
  <si>
    <t xml:space="preserve">Whose name is on the breaker panel at your house?</t>
  </si>
  <si>
    <t>HUBB</t>
  </si>
  <si>
    <t>Hubbell</t>
  </si>
  <si>
    <t xml:space="preserve">Wiring devices, connectors and utility equipment.</t>
  </si>
  <si>
    <t xml:space="preserve">Look at the receptacles in this room. Who made them?</t>
  </si>
  <si>
    <t>GWW</t>
  </si>
  <si>
    <t xml:space="preserve">W.W. Grainger</t>
  </si>
  <si>
    <t xml:space="preserve">Industrial and electrical supply distributor.</t>
  </si>
  <si>
    <t xml:space="preserve">Why do contractors buy from a distributor instead of the manufacturer?</t>
  </si>
  <si>
    <t>PWR</t>
  </si>
  <si>
    <t xml:space="preserve">Quanta Services</t>
  </si>
  <si>
    <t xml:space="preserve">Largest employer of utility lineworkers; power-grid construction.</t>
  </si>
  <si>
    <t xml:space="preserve">More data centers and EVs need more grid. Who builds it?</t>
  </si>
  <si>
    <t>GNRC</t>
  </si>
  <si>
    <t>Generac</t>
  </si>
  <si>
    <t xml:space="preserve">Home standby generators, often installed by electricians.</t>
  </si>
  <si>
    <t xml:space="preserve">Check GNRC's chart after a major hurricane or ice storm.</t>
  </si>
  <si>
    <t xml:space="preserve">Button Order</t>
  </si>
  <si>
    <t xml:space="preserve">Button Label</t>
  </si>
  <si>
    <t>Icon</t>
  </si>
  <si>
    <t xml:space="preserve">Button Description</t>
  </si>
  <si>
    <t xml:space="preserve">Sector Benchmark</t>
  </si>
  <si>
    <t xml:space="preserve">Stocks Shown (Include)</t>
  </si>
  <si>
    <t xml:space="preserve">Also-In Badges</t>
  </si>
  <si>
    <t xml:space="preserve">Optional / Alternate</t>
  </si>
  <si>
    <t>🚔</t>
  </si>
  <si>
    <t xml:space="preserve">Gear, radios and vehicles behind policing. (Most police employers are governments, so there's no 'employer' stock here.)</t>
  </si>
  <si>
    <t>SPY</t>
  </si>
  <si>
    <t>💇</t>
  </si>
  <si>
    <t xml:space="preserve">Product makers, supply stores and salon chains.</t>
  </si>
  <si>
    <t>XLP</t>
  </si>
  <si>
    <t>❄️</t>
  </si>
  <si>
    <t xml:space="preserve">Equipment makers, the distributor techs buy from, and a contractor that hires.</t>
  </si>
  <si>
    <t>XLI</t>
  </si>
  <si>
    <t>💻</t>
  </si>
  <si>
    <t xml:space="preserve">Software, networking, chips and cybersecurity.</t>
  </si>
  <si>
    <t>XLK</t>
  </si>
  <si>
    <t>⚙️</t>
  </si>
  <si>
    <t xml:space="preserve">Heavy equipment, automation, welding and industrial supply.</t>
  </si>
  <si>
    <t>🪚</t>
  </si>
  <si>
    <t xml:space="preserve">Lumber, tools, home-improvement retail and building products.</t>
  </si>
  <si>
    <t>XHB</t>
  </si>
  <si>
    <t>🚗</t>
  </si>
  <si>
    <t xml:space="preserve">Automakers, tools, parts and refinish paint.</t>
  </si>
  <si>
    <t>XLY</t>
  </si>
  <si>
    <t>⚡</t>
  </si>
  <si>
    <t xml:space="preserve">Power equipment, wiring, generators and grid work.</t>
  </si>
  <si>
    <t>Total</t>
  </si>
  <si>
    <t xml:space="preserve">Site-wide benchmark</t>
  </si>
  <si>
    <t xml:space="preserve">SPY (S&amp;P 500) — shown on every trade page for comparison.</t>
  </si>
  <si>
    <t xml:space="preserve">Unique tickers (all statuses)</t>
  </si>
  <si>
    <t>Roles</t>
  </si>
  <si>
    <t>Review</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</si>
</sst>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2">
    <numFmt numFmtId="164" formatCode="$#,##0.00"/>
    <numFmt numFmtId="165" formatCode="mmm d, yyyy"/>
  </numFmts>
  <fonts count="8">
    <font>
      <sz val="11.000000"/>
      <color theme="1"/>
      <name val="Calibri"/>
    </font>
    <font>
      <sz val="10.000000"/>
      <name val="Arial"/>
    </font>
    <font>
      <b/>
      <sz val="16.000000"/>
      <color rgb="FF1F3864"/>
      <name val="Arial"/>
    </font>
    <font>
      <b/>
      <sz val="12.000000"/>
      <name val="Arial"/>
    </font>
    <font>
      <b/>
      <sz val="11.000000"/>
      <color indexed="65"/>
      <name val="Arial"/>
    </font>
    <font>
      <b/>
      <color indexed="65"/>
      <name val="Arial"/>
    </font>
    <font>
      <b/>
      <sz val="10.000000"/>
      <name val="Arial"/>
    </font>
    <font>
      <b/>
      <sz val="11.000000"/>
      <name val="Arial"/>
    </font>
  </fonts>
  <fills count="6">
    <fill>
      <patternFill patternType="none"/>
    </fill>
    <fill>
      <patternFill patternType="gray125"/>
    </fill>
    <fill>
      <patternFill patternType="solid">
        <fgColor rgb="FF1F3864"/>
        <bgColor indexed="63"/>
      </patternFill>
    </fill>
    <fill>
      <patternFill patternType="solid">
        <fgColor rgb="FF1F3864"/>
      </patternFill>
    </fill>
    <fill>
      <patternFill patternType="solid">
        <fgColor rgb="FFFFF9E5"/>
        <bgColor indexed="65"/>
      </patternFill>
    </fill>
    <fill>
      <patternFill patternType="solid">
        <fgColor rgb="FFFFF9E5"/>
      </patternFill>
    </fill>
  </fills>
  <borders count="2">
    <border>
      <left style="none"/>
      <right style="none"/>
      <top style="none"/>
      <bottom style="none"/>
      <diagonal style="none"/>
    </border>
    <border>
      <left style="thin">
        <color rgb="FFD0D0D0"/>
      </left>
      <right style="thin">
        <color rgb="FFD0D0D0"/>
      </right>
      <top style="thin">
        <color rgb="FFD0D0D0"/>
      </top>
      <bottom style="thin">
        <color rgb="FFD0D0D0"/>
      </bottom>
      <diagonal style="none"/>
    </border>
  </borders>
  <cellStyleXfs count="6">
    <xf fontId="0" fillId="0" borderId="0" numFmtId="0" applyNumberFormat="1" applyFont="1" applyFill="1" applyBorder="1"/>
    <xf fontId="1" fillId="0" borderId="0" numFmtId="43" applyNumberFormat="1" applyFont="1" applyFill="1" applyBorder="1"/>
    <xf fontId="1" fillId="0" borderId="0" numFmtId="41" applyNumberFormat="1" applyFont="1" applyFill="1" applyBorder="1"/>
    <xf fontId="1" fillId="0" borderId="0" numFmtId="44" applyNumberFormat="1" applyFont="1" applyFill="1" applyBorder="1"/>
    <xf fontId="1" fillId="0" borderId="0" numFmtId="42" applyNumberFormat="1" applyFont="1" applyFill="1" applyBorder="1"/>
    <xf fontId="1" fillId="0" borderId="0" numFmtId="9" applyNumberFormat="1" applyFont="1" applyFill="1" applyBorder="1"/>
  </cellStyleXfs>
  <cellXfs count="21">
    <xf fontId="0" fillId="0" borderId="0" numFmtId="0" xfId="0" quotePrefix="0" pivotButton="0"/>
    <xf fontId="0" fillId="0" borderId="0" numFmtId="0" xfId="0" quotePrefix="0" pivotButton="0"/>
    <xf fontId="2" fillId="0" borderId="0" numFmtId="0" xfId="0" applyFont="1" applyAlignment="1" quotePrefix="0" pivotButton="0">
      <alignment vertical="top" wrapText="1"/>
    </xf>
    <xf fontId="1" fillId="0" borderId="0" numFmtId="0" xfId="0" applyFont="1" applyAlignment="1" quotePrefix="0" pivotButton="0">
      <alignment vertical="top" wrapText="1"/>
    </xf>
    <xf fontId="3" fillId="0" borderId="0" numFmtId="0" xfId="0" applyFont="1" applyAlignment="1" quotePrefix="0" pivotButton="0">
      <alignment vertical="top" wrapText="1"/>
    </xf>
    <xf fontId="3" fillId="0" borderId="0" numFmtId="0" xfId="0" applyFont="1" quotePrefix="0" pivotButton="0"/>
    <xf fontId="0" fillId="0" borderId="0" numFmtId="0" xfId="0" quotePrefix="0" pivotButton="0"/>
    <xf fontId="4" fillId="2" borderId="1" numFmtId="0" xfId="0" applyFont="1" applyFill="1" applyBorder="1" applyAlignment="1" quotePrefix="0" pivotButton="0">
      <alignment horizontal="center" vertical="center" wrapText="1"/>
    </xf>
    <xf fontId="5" fillId="3" borderId="1" numFmtId="0" xfId="0" applyFont="1" applyFill="1" applyBorder="1" applyAlignment="1" quotePrefix="0" pivotButton="0">
      <alignment horizontal="center" vertical="center" wrapText="1"/>
    </xf>
    <xf fontId="6" fillId="4" borderId="1" numFmtId="0" xfId="0" applyFont="1" applyFill="1" applyBorder="1" applyAlignment="1" quotePrefix="0" pivotButton="0">
      <alignment horizontal="center" vertical="top" wrapText="1"/>
    </xf>
    <xf fontId="1" fillId="4" borderId="1" numFmtId="0" xfId="0" applyFont="1" applyFill="1" applyBorder="1" applyAlignment="1" quotePrefix="0" pivotButton="0">
      <alignment horizontal="left" vertical="top" wrapText="1"/>
    </xf>
    <xf fontId="1" fillId="4" borderId="1" numFmtId="0" xfId="0" applyFont="1" applyFill="1" applyBorder="1" applyAlignment="1" quotePrefix="0" pivotButton="0">
      <alignment horizontal="center" vertical="top" wrapText="1"/>
    </xf>
    <xf fontId="1" fillId="5" borderId="1" numFmtId="164" xfId="0" applyNumberFormat="1" applyFont="1" applyFill="1" applyBorder="1" applyAlignment="1" quotePrefix="0" pivotButton="0">
      <alignment horizontal="center" vertical="top"/>
    </xf>
    <xf fontId="1" fillId="5" borderId="1" numFmtId="165" xfId="0" applyNumberFormat="1" applyFont="1" applyFill="1" applyBorder="1" applyAlignment="1" quotePrefix="0" pivotButton="0">
      <alignment horizontal="center" vertical="top"/>
    </xf>
    <xf fontId="1" fillId="4" borderId="1" numFmtId="0" xfId="0" applyFont="1" applyFill="1" applyBorder="1" applyAlignment="1" quotePrefix="0" pivotButton="0">
      <alignment vertical="top" wrapText="1"/>
    </xf>
    <xf fontId="6" fillId="4" borderId="1" numFmtId="0" xfId="0" applyFont="1" applyFill="1" applyBorder="1" applyAlignment="1" quotePrefix="0" pivotButton="0">
      <alignment horizontal="left" vertical="top" wrapText="1"/>
    </xf>
    <xf fontId="1" fillId="0" borderId="1" numFmtId="0" xfId="0" applyFont="1" applyBorder="1" applyAlignment="1" quotePrefix="0" pivotButton="0">
      <alignment horizontal="center" vertical="top" wrapText="1"/>
    </xf>
    <xf fontId="7" fillId="0" borderId="0" numFmtId="0" xfId="0" applyFont="1" quotePrefix="0" pivotButton="0"/>
    <xf fontId="7" fillId="0" borderId="0" numFmtId="0" xfId="0" applyFont="1" applyAlignment="1" quotePrefix="0" pivotButton="0">
      <alignment horizontal="center"/>
    </xf>
    <xf fontId="1" fillId="0" borderId="0" numFmtId="0" xfId="0" applyFont="1" quotePrefix="0" pivotButton="0"/>
    <xf fontId="1" fillId="0" borderId="0" numFmtId="0" xfId="0" applyFont="1" applyAlignment="1" quotePrefix="0" pivotButton="0">
      <alignment horizontal="left"/>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Relationships xmlns="http://schemas.openxmlformats.org/package/2006/relationships"><Relationship  Id="rId1" Type="http://schemas.onlyoffice.com/jsaProject" Target="jsaProject.bin"/><Relationship  Id="rId2" Type="http://schemas.microsoft.com/office/2017/10/relationships/person" Target="persons/person.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theme" Target="theme/theme1.xml"/><Relationship  Id="rId8" Type="http://schemas.openxmlformats.org/officeDocument/2006/relationships/sharedStrings" Target="sharedStrings.xml"/><Relationship  Id="rId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Claude" id="{DEBF4A77-40F6-524A-AADB-70EB48D88127}"/>
  <person displayName="Unknown Author" id="{BE86C573-938D-38A2-E06D-D11DB0F0B9D3}"/>
</personList>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Arial"/>
        <a:cs typeface="Arial"/>
      </a:majorFont>
      <a:minorFont>
        <a:latin typeface="Calibri"/>
        <a:ea typeface="Arial"/>
        <a:cs typeface="Arial"/>
      </a:minorFont>
    </a:fontScheme>
    <a:fmtScheme na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gradFill>
        <a:gradFill>
          <a:gsLst>
            <a:gs pos="0">
              <a:schemeClr val="phClr">
                <a:shade val="51000"/>
              </a:schemeClr>
            </a:gs>
            <a:gs pos="80000">
              <a:schemeClr val="phClr">
                <a:shade val="93000"/>
              </a:schemeClr>
            </a:gs>
            <a:gs pos="100000">
              <a:schemeClr val="phClr">
                <a:shade val="94000"/>
              </a:schemeClr>
            </a:gs>
          </a:gsLst>
          <a:lin ang="16200000" scaled="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gradFill>
        <a:gradFill>
          <a:gsLst>
            <a:gs pos="0">
              <a:schemeClr val="phClr">
                <a:tint val="80000"/>
              </a:schemeClr>
            </a:gs>
            <a:gs pos="100000">
              <a:schemeClr val="phClr">
                <a:shade val="30000"/>
              </a:schemeClr>
            </a:gs>
          </a:gsLst>
          <a:path path="circle"/>
        </a:gradFill>
      </a:bgFillStyleLst>
    </a:fmtScheme>
  </a:themeElements>
  <a:objectDefaults/>
</a:theme>
</file>

<file path=xl/threadedComments/threadedComment1.xml><?xml version="1.0" encoding="utf-8"?>
<ThreadedComments xmlns="http://schemas.microsoft.com/office/spreadsheetml/2018/threadedcomments" xmlns:x="http://schemas.openxmlformats.org/spreadsheetml/2006/main">
  <threadedComment ref="K1" personId="{DEBF4A77-40F6-524A-AADB-70EB48D88127}" id="{0019009C-00E6-4E1F-8A0F-001A00C000F8}" done="0">
    <text xml:space="preserve">The date you copied the target. The site shows it so students know how fresh it is.
</text>
  </threadedComment>
  <threadedComment ref="D1" personId="{BE86C573-938D-38A2-E06D-D11DB0F0B9D3}" id="{00F8007D-0061-471C-A239-00AD005500EE}" done="0">
    <text xml:space="preserve">Other trade buttons this stock should also appear on. Use exact category names; separate with ';'.
</text>
  </threadedComment>
  <threadedComment ref="H1" personId="{BE86C573-938D-38A2-E06D-D11DB0F0B9D3}" id="{000400FB-00F2-4734-B8CC-004700BE00E1}" done="0">
    <text xml:space="preserve">A question or prompt shown on the stock's card to get students digging.
</text>
  </threadedComment>
  <threadedComment ref="J1" personId="{DEBF4A77-40F6-524A-AADB-70EB48D88127}" id="{005E0000-0030-4846-95D6-0009001C0074}" done="0">
    <text xml:space="preserve">Analysts' average 1-year price target, copied from Yahoo Finance (Summary tab, '1y Target Est'). Free data feeds don't include it, so the site uses whatever you type here. Leave blank to show 'Not entered'.
</text>
  </threadedComment>
</ThreadedComments>
</file>

<file path=xl/worksheets/_rels/sheet2.xml.rels><?xml version="1.0" encoding="UTF-8" standalone="yes"?><Relationships xmlns="http://schemas.openxmlformats.org/package/2006/relationships"><Relationship  Id="rId1" Type="http://schemas.microsoft.com/office/2017/10/relationships/threadedComment" Target="../threadedComments/threadedComment1.xml"/><Relationship  Id="rId2" Type="http://schemas.openxmlformats.org/officeDocument/2006/relationships/comments" Target="../comments1.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0">
    <tabColor rgb="FF1F3864"/>
    <outlinePr applyStyles="0" summaryBelow="1" summaryRight="1" showOutlineSymbols="1"/>
    <pageSetUpPr autoPageBreaks="1" fitToPage="0"/>
  </sheetPr>
  <sheetViews>
    <sheetView showFormulas="0" showGridLines="0" showRowColHeaders="1" showZeros="1" rightToLeft="0" view="normal" topLeftCell="A1" zoomScale="100" workbookViewId="0">
      <selection activeCell="A1" activeCellId="0" sqref="A1"/>
    </sheetView>
  </sheetViews>
  <sheetFormatPr baseColWidth="8" defaultColWidth="8.6796875" defaultRowHeight="15"/>
  <cols>
    <col customWidth="1" min="1" max="1" style="1" width="120"/>
  </cols>
  <sheetData>
    <row r="1" ht="19.5" customHeight="1">
      <c r="A1" s="2" t="s">
        <v>0</v>
      </c>
    </row>
    <row r="2" ht="23.25" customHeight="1">
      <c r="A2" s="3" t="s">
        <v>1</v>
      </c>
    </row>
    <row r="3" ht="15" customHeight="1">
      <c r="A3" s="3"/>
    </row>
    <row r="4" ht="15" customHeight="1">
      <c r="A4" s="4" t="s">
        <v>2</v>
      </c>
    </row>
    <row r="5" ht="15" customHeight="1">
      <c r="A5" s="3" t="s">
        <v>3</v>
      </c>
    </row>
    <row r="6" ht="15" customHeight="1">
      <c r="A6" s="3" t="s">
        <v>4</v>
      </c>
    </row>
    <row r="7" ht="15" customHeight="1">
      <c r="A7" s="3" t="s">
        <v>5</v>
      </c>
    </row>
    <row r="8" ht="23.25" customHeight="1">
      <c r="A8" s="3" t="s">
        <v>6</v>
      </c>
    </row>
    <row r="9" ht="15" customHeight="1">
      <c r="A9" s="3"/>
    </row>
    <row r="10" ht="15" customHeight="1">
      <c r="A10" s="4" t="s">
        <v>7</v>
      </c>
    </row>
    <row r="11" ht="15" customHeight="1">
      <c r="A11" s="3" t="s">
        <v>8</v>
      </c>
    </row>
    <row r="12" ht="15" customHeight="1">
      <c r="A12" s="3" t="s">
        <v>9</v>
      </c>
    </row>
    <row r="13" ht="15" customHeight="1">
      <c r="A13" s="3" t="s">
        <v>10</v>
      </c>
    </row>
    <row r="14" ht="15" customHeight="1">
      <c r="A14" s="3" t="s">
        <v>11</v>
      </c>
    </row>
    <row r="15" ht="15" customHeight="1">
      <c r="A15" s="3"/>
    </row>
    <row r="16" ht="15" customHeight="1">
      <c r="A16" s="4" t="s">
        <v>12</v>
      </c>
    </row>
    <row r="17" ht="15" customHeight="1">
      <c r="A17" s="3" t="s">
        <v>13</v>
      </c>
    </row>
    <row r="18" ht="15" customHeight="1">
      <c r="A18" s="3" t="s">
        <v>14</v>
      </c>
    </row>
    <row r="19" ht="15" customHeight="1">
      <c r="A19" s="3"/>
    </row>
    <row r="20" ht="15" customHeight="1">
      <c r="A20" s="4" t="s">
        <v>15</v>
      </c>
    </row>
    <row r="21" ht="23.25" customHeight="1">
      <c r="A21" s="3" t="s">
        <v>16</v>
      </c>
    </row>
    <row r="22" ht="15" customHeight="1">
      <c r="A22" s="3"/>
    </row>
    <row r="23" ht="15" customHeight="1">
      <c r="A23" s="4" t="s">
        <v>17</v>
      </c>
    </row>
    <row r="24" ht="15" customHeight="1">
      <c r="A24" s="3" t="s">
        <v>18</v>
      </c>
    </row>
    <row r="25" ht="15" customHeight="1">
      <c r="A25" s="3"/>
    </row>
    <row r="26" ht="15" customHeight="1">
      <c r="A26" s="4" t="s">
        <v>19</v>
      </c>
    </row>
    <row r="27" ht="23.25" customHeight="1">
      <c r="A27" s="3" t="s">
        <v>20</v>
      </c>
    </row>
    <row r="28" ht="15" customHeight="1">
      <c r="A28" s="3" t="s">
        <v>21</v>
      </c>
    </row>
    <row r="29" ht="15" customHeight="1">
      <c r="A29" s="3" t="s">
        <v>22</v>
      </c>
    </row>
    <row r="30" ht="15" customHeight="1">
      <c r="A30" s="3" t="s">
        <v>23</v>
      </c>
    </row>
    <row r="32">
      <c r="A32" s="5" t="s">
        <v>24</v>
      </c>
    </row>
    <row r="33">
      <c r="A33" s="3" t="s">
        <v>25</v>
      </c>
    </row>
  </sheetData>
  <printOptions headings="0" gridLines="0" horizontalCentered="0" verticalCentered="0"/>
  <pageMargins left="0.75" right="0.75" top="1" bottom="1"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0">
    <tabColor rgb="FFC9A227"/>
    <outlinePr applyStyles="0" summaryBelow="1" summaryRight="1" showOutlineSymbols="1"/>
    <pageSetUpPr autoPageBreaks="1" fitToPage="0"/>
  </sheetPr>
  <sheetViews>
    <sheetView showFormulas="0" showGridLines="1" showRowColHeaders="1" showZeros="1" rightToLeft="0" view="normal" zoomScale="100" workbookViewId="0">
      <pane xSplit="1" ySplit="1" topLeftCell="B2" activePane="bottomRight" state="frozen"/>
      <selection activeCell="A1" activeCellId="0" sqref="A1"/>
    </sheetView>
  </sheetViews>
  <sheetFormatPr baseColWidth="8" defaultColWidth="8.6796875" defaultRowHeight="14.25"/>
  <cols>
    <col customWidth="1" min="1" max="1" style="1" width="9"/>
    <col customWidth="1" min="2" max="3" style="1" width="26"/>
    <col customWidth="1" min="4" max="4" style="1" width="18"/>
    <col customWidth="1" min="5" max="5" style="1" width="15"/>
    <col customWidth="1" min="6" max="6" style="1" width="11"/>
    <col customWidth="1" min="7" max="7" style="1" width="52"/>
    <col customWidth="1" min="8" max="8" style="1" width="58"/>
    <col customWidth="1" min="9" max="9" style="1" width="30"/>
    <col customWidth="1" min="10" max="10" style="6" width="13"/>
    <col customWidth="1" min="11" max="11" style="6" width="14.8515625"/>
  </cols>
  <sheetData>
    <row r="1" ht="21.75" customHeight="1">
      <c r="A1" s="7" t="s">
        <v>26</v>
      </c>
      <c r="B1" s="7" t="s">
        <v>27</v>
      </c>
      <c r="C1" s="7" t="s">
        <v>28</v>
      </c>
      <c r="D1" s="7" t="s">
        <v>29</v>
      </c>
      <c r="E1" s="7" t="s">
        <v>30</v>
      </c>
      <c r="F1" s="7" t="s">
        <v>31</v>
      </c>
      <c r="G1" s="7" t="s">
        <v>32</v>
      </c>
      <c r="H1" s="7" t="s">
        <v>33</v>
      </c>
      <c r="I1" s="7" t="s">
        <v>34</v>
      </c>
      <c r="J1" s="8" t="s">
        <v>35</v>
      </c>
      <c r="K1" s="8" t="s">
        <v>36</v>
      </c>
    </row>
    <row r="2" ht="23.25" customHeight="1">
      <c r="A2" s="9" t="s">
        <v>37</v>
      </c>
      <c r="B2" s="10" t="s">
        <v>38</v>
      </c>
      <c r="C2" s="10" t="s">
        <v>39</v>
      </c>
      <c r="D2" s="10"/>
      <c r="E2" s="11" t="s">
        <v>40</v>
      </c>
      <c r="F2" s="11" t="s">
        <v>41</v>
      </c>
      <c r="G2" s="10" t="s">
        <v>42</v>
      </c>
      <c r="H2" s="10" t="s">
        <v>43</v>
      </c>
      <c r="I2" s="10"/>
      <c r="J2" s="12"/>
      <c r="K2" s="13"/>
    </row>
    <row r="3" ht="23.25" customHeight="1">
      <c r="A3" s="9" t="s">
        <v>44</v>
      </c>
      <c r="B3" s="10" t="s">
        <v>45</v>
      </c>
      <c r="C3" s="10" t="s">
        <v>39</v>
      </c>
      <c r="D3" s="10"/>
      <c r="E3" s="11" t="s">
        <v>40</v>
      </c>
      <c r="F3" s="11" t="s">
        <v>41</v>
      </c>
      <c r="G3" s="10" t="s">
        <v>46</v>
      </c>
      <c r="H3" s="10" t="s">
        <v>47</v>
      </c>
      <c r="I3" s="10"/>
      <c r="J3" s="12"/>
      <c r="K3" s="13"/>
    </row>
    <row r="4" ht="23.25" customHeight="1">
      <c r="A4" s="9" t="s">
        <v>48</v>
      </c>
      <c r="B4" s="10" t="s">
        <v>49</v>
      </c>
      <c r="C4" s="10" t="s">
        <v>39</v>
      </c>
      <c r="D4" s="10"/>
      <c r="E4" s="11" t="s">
        <v>40</v>
      </c>
      <c r="F4" s="11" t="s">
        <v>41</v>
      </c>
      <c r="G4" s="10" t="s">
        <v>50</v>
      </c>
      <c r="H4" s="10" t="s">
        <v>51</v>
      </c>
      <c r="I4" s="10"/>
      <c r="J4" s="12"/>
      <c r="K4" s="13"/>
    </row>
    <row r="5" ht="23.25" customHeight="1">
      <c r="A5" s="9" t="s">
        <v>52</v>
      </c>
      <c r="B5" s="10" t="s">
        <v>53</v>
      </c>
      <c r="C5" s="10" t="s">
        <v>39</v>
      </c>
      <c r="D5" s="10"/>
      <c r="E5" s="11" t="s">
        <v>40</v>
      </c>
      <c r="F5" s="11" t="s">
        <v>41</v>
      </c>
      <c r="G5" s="10" t="s">
        <v>54</v>
      </c>
      <c r="H5" s="10" t="s">
        <v>55</v>
      </c>
      <c r="I5" s="10" t="s">
        <v>56</v>
      </c>
      <c r="J5" s="12"/>
      <c r="K5" s="13"/>
    </row>
    <row r="6" ht="23.25" customHeight="1">
      <c r="A6" s="9" t="s">
        <v>57</v>
      </c>
      <c r="B6" s="10" t="s">
        <v>58</v>
      </c>
      <c r="C6" s="10" t="s">
        <v>39</v>
      </c>
      <c r="D6" s="10"/>
      <c r="E6" s="11" t="s">
        <v>40</v>
      </c>
      <c r="F6" s="11" t="s">
        <v>59</v>
      </c>
      <c r="G6" s="10" t="s">
        <v>60</v>
      </c>
      <c r="H6" s="10" t="s">
        <v>61</v>
      </c>
      <c r="I6" s="10" t="s">
        <v>62</v>
      </c>
      <c r="J6" s="12"/>
      <c r="K6" s="13"/>
    </row>
    <row r="7" ht="23.25" customHeight="1">
      <c r="A7" s="9" t="s">
        <v>63</v>
      </c>
      <c r="B7" s="10" t="s">
        <v>64</v>
      </c>
      <c r="C7" s="10" t="s">
        <v>65</v>
      </c>
      <c r="D7" s="10"/>
      <c r="E7" s="11" t="s">
        <v>66</v>
      </c>
      <c r="F7" s="11" t="s">
        <v>41</v>
      </c>
      <c r="G7" s="10" t="s">
        <v>67</v>
      </c>
      <c r="H7" s="10" t="s">
        <v>68</v>
      </c>
      <c r="I7" s="10"/>
      <c r="J7" s="12"/>
      <c r="K7" s="13"/>
    </row>
    <row r="8" ht="15" customHeight="1">
      <c r="A8" s="9" t="s">
        <v>69</v>
      </c>
      <c r="B8" s="10" t="s">
        <v>70</v>
      </c>
      <c r="C8" s="10" t="s">
        <v>65</v>
      </c>
      <c r="D8" s="10"/>
      <c r="E8" s="11" t="s">
        <v>40</v>
      </c>
      <c r="F8" s="11" t="s">
        <v>41</v>
      </c>
      <c r="G8" s="10" t="s">
        <v>71</v>
      </c>
      <c r="H8" s="10" t="s">
        <v>72</v>
      </c>
      <c r="I8" s="10"/>
      <c r="J8" s="12"/>
      <c r="K8" s="13"/>
    </row>
    <row r="9" ht="23.25" customHeight="1">
      <c r="A9" s="9" t="s">
        <v>73</v>
      </c>
      <c r="B9" s="10" t="s">
        <v>74</v>
      </c>
      <c r="C9" s="10" t="s">
        <v>65</v>
      </c>
      <c r="D9" s="10"/>
      <c r="E9" s="11" t="s">
        <v>75</v>
      </c>
      <c r="F9" s="11" t="s">
        <v>41</v>
      </c>
      <c r="G9" s="10" t="s">
        <v>76</v>
      </c>
      <c r="H9" s="10" t="s">
        <v>77</v>
      </c>
      <c r="I9" s="10"/>
      <c r="J9" s="12"/>
      <c r="K9" s="13"/>
    </row>
    <row r="10" ht="15" customHeight="1">
      <c r="A10" s="9" t="s">
        <v>78</v>
      </c>
      <c r="B10" s="10" t="s">
        <v>79</v>
      </c>
      <c r="C10" s="10" t="s">
        <v>65</v>
      </c>
      <c r="D10" s="10"/>
      <c r="E10" s="11" t="s">
        <v>80</v>
      </c>
      <c r="F10" s="11" t="s">
        <v>41</v>
      </c>
      <c r="G10" s="10" t="s">
        <v>81</v>
      </c>
      <c r="H10" s="10" t="s">
        <v>82</v>
      </c>
      <c r="I10" s="10"/>
      <c r="J10" s="12"/>
      <c r="K10" s="13"/>
    </row>
    <row r="11" ht="23.25" customHeight="1">
      <c r="A11" s="9" t="s">
        <v>83</v>
      </c>
      <c r="B11" s="10" t="s">
        <v>84</v>
      </c>
      <c r="C11" s="10" t="s">
        <v>65</v>
      </c>
      <c r="D11" s="10"/>
      <c r="E11" s="11" t="s">
        <v>85</v>
      </c>
      <c r="F11" s="11" t="s">
        <v>41</v>
      </c>
      <c r="G11" s="10" t="s">
        <v>86</v>
      </c>
      <c r="H11" s="10" t="s">
        <v>87</v>
      </c>
      <c r="I11" s="10"/>
      <c r="J11" s="12"/>
      <c r="K11" s="13"/>
    </row>
    <row r="12" ht="23.25" customHeight="1">
      <c r="A12" s="9" t="s">
        <v>88</v>
      </c>
      <c r="B12" s="10" t="s">
        <v>89</v>
      </c>
      <c r="C12" s="10" t="s">
        <v>90</v>
      </c>
      <c r="D12" s="10"/>
      <c r="E12" s="11" t="s">
        <v>66</v>
      </c>
      <c r="F12" s="11" t="s">
        <v>41</v>
      </c>
      <c r="G12" s="10" t="s">
        <v>91</v>
      </c>
      <c r="H12" s="10" t="s">
        <v>92</v>
      </c>
      <c r="I12" s="10"/>
      <c r="J12" s="12"/>
      <c r="K12" s="13"/>
    </row>
    <row r="13" ht="15" customHeight="1">
      <c r="A13" s="9" t="s">
        <v>93</v>
      </c>
      <c r="B13" s="10" t="s">
        <v>94</v>
      </c>
      <c r="C13" s="10" t="s">
        <v>90</v>
      </c>
      <c r="D13" s="10"/>
      <c r="E13" s="11" t="s">
        <v>40</v>
      </c>
      <c r="F13" s="11" t="s">
        <v>41</v>
      </c>
      <c r="G13" s="10" t="s">
        <v>95</v>
      </c>
      <c r="H13" s="10" t="s">
        <v>96</v>
      </c>
      <c r="I13" s="10"/>
      <c r="J13" s="12"/>
      <c r="K13" s="13"/>
    </row>
    <row r="14" ht="23.25" customHeight="1">
      <c r="A14" s="9" t="s">
        <v>97</v>
      </c>
      <c r="B14" s="10" t="s">
        <v>98</v>
      </c>
      <c r="C14" s="10" t="s">
        <v>90</v>
      </c>
      <c r="D14" s="10"/>
      <c r="E14" s="11" t="s">
        <v>40</v>
      </c>
      <c r="F14" s="11" t="s">
        <v>41</v>
      </c>
      <c r="G14" s="10" t="s">
        <v>99</v>
      </c>
      <c r="H14" s="10" t="s">
        <v>100</v>
      </c>
      <c r="I14" s="10"/>
      <c r="J14" s="12"/>
      <c r="K14" s="13"/>
    </row>
    <row r="15" ht="15" customHeight="1">
      <c r="A15" s="9" t="s">
        <v>101</v>
      </c>
      <c r="B15" s="10" t="s">
        <v>102</v>
      </c>
      <c r="C15" s="10" t="s">
        <v>90</v>
      </c>
      <c r="D15" s="10"/>
      <c r="E15" s="11" t="s">
        <v>75</v>
      </c>
      <c r="F15" s="11" t="s">
        <v>41</v>
      </c>
      <c r="G15" s="10" t="s">
        <v>103</v>
      </c>
      <c r="H15" s="10" t="s">
        <v>104</v>
      </c>
      <c r="I15" s="10"/>
      <c r="J15" s="12"/>
      <c r="K15" s="13"/>
    </row>
    <row r="16" ht="23.25" customHeight="1">
      <c r="A16" s="9" t="s">
        <v>105</v>
      </c>
      <c r="B16" s="10" t="s">
        <v>106</v>
      </c>
      <c r="C16" s="10" t="s">
        <v>90</v>
      </c>
      <c r="D16" s="10" t="s">
        <v>107</v>
      </c>
      <c r="E16" s="11" t="s">
        <v>80</v>
      </c>
      <c r="F16" s="11" t="s">
        <v>41</v>
      </c>
      <c r="G16" s="10" t="s">
        <v>108</v>
      </c>
      <c r="H16" s="10" t="s">
        <v>109</v>
      </c>
      <c r="I16" s="10"/>
      <c r="J16" s="12"/>
      <c r="K16" s="13"/>
    </row>
    <row r="17" ht="15" customHeight="1">
      <c r="A17" s="9" t="s">
        <v>110</v>
      </c>
      <c r="B17" s="10" t="s">
        <v>111</v>
      </c>
      <c r="C17" s="10" t="s">
        <v>112</v>
      </c>
      <c r="D17" s="10"/>
      <c r="E17" s="11" t="s">
        <v>66</v>
      </c>
      <c r="F17" s="11" t="s">
        <v>41</v>
      </c>
      <c r="G17" s="10" t="s">
        <v>113</v>
      </c>
      <c r="H17" s="10" t="s">
        <v>114</v>
      </c>
      <c r="I17" s="10"/>
      <c r="J17" s="12"/>
      <c r="K17" s="13"/>
    </row>
    <row r="18" ht="23.25" customHeight="1">
      <c r="A18" s="9" t="s">
        <v>115</v>
      </c>
      <c r="B18" s="10" t="s">
        <v>116</v>
      </c>
      <c r="C18" s="10" t="s">
        <v>112</v>
      </c>
      <c r="D18" s="10"/>
      <c r="E18" s="11" t="s">
        <v>40</v>
      </c>
      <c r="F18" s="11" t="s">
        <v>41</v>
      </c>
      <c r="G18" s="10" t="s">
        <v>117</v>
      </c>
      <c r="H18" s="10" t="s">
        <v>118</v>
      </c>
      <c r="I18" s="10"/>
      <c r="J18" s="12"/>
      <c r="K18" s="13"/>
    </row>
    <row r="19" ht="15" customHeight="1">
      <c r="A19" s="9" t="s">
        <v>119</v>
      </c>
      <c r="B19" s="10" t="s">
        <v>120</v>
      </c>
      <c r="C19" s="10" t="s">
        <v>112</v>
      </c>
      <c r="D19" s="10"/>
      <c r="E19" s="11" t="s">
        <v>40</v>
      </c>
      <c r="F19" s="11" t="s">
        <v>41</v>
      </c>
      <c r="G19" s="10" t="s">
        <v>121</v>
      </c>
      <c r="H19" s="10" t="s">
        <v>122</v>
      </c>
      <c r="I19" s="10"/>
      <c r="J19" s="12"/>
      <c r="K19" s="13"/>
    </row>
    <row r="20" ht="23.25" customHeight="1">
      <c r="A20" s="9" t="s">
        <v>123</v>
      </c>
      <c r="B20" s="10" t="s">
        <v>123</v>
      </c>
      <c r="C20" s="10" t="s">
        <v>112</v>
      </c>
      <c r="D20" s="10"/>
      <c r="E20" s="11" t="s">
        <v>80</v>
      </c>
      <c r="F20" s="11" t="s">
        <v>41</v>
      </c>
      <c r="G20" s="10" t="s">
        <v>124</v>
      </c>
      <c r="H20" s="10" t="s">
        <v>125</v>
      </c>
      <c r="I20" s="10"/>
      <c r="J20" s="12"/>
      <c r="K20" s="13"/>
    </row>
    <row r="21" ht="23.25" customHeight="1">
      <c r="A21" s="9" t="s">
        <v>126</v>
      </c>
      <c r="B21" s="10" t="s">
        <v>127</v>
      </c>
      <c r="C21" s="10" t="s">
        <v>112</v>
      </c>
      <c r="D21" s="10"/>
      <c r="E21" s="11" t="s">
        <v>85</v>
      </c>
      <c r="F21" s="11" t="s">
        <v>41</v>
      </c>
      <c r="G21" s="10" t="s">
        <v>128</v>
      </c>
      <c r="H21" s="10" t="s">
        <v>129</v>
      </c>
      <c r="I21" s="10" t="s">
        <v>130</v>
      </c>
      <c r="J21" s="12"/>
      <c r="K21" s="13"/>
    </row>
    <row r="22" ht="23.25" customHeight="1">
      <c r="A22" s="9" t="s">
        <v>131</v>
      </c>
      <c r="B22" s="10" t="s">
        <v>132</v>
      </c>
      <c r="C22" s="10" t="s">
        <v>133</v>
      </c>
      <c r="D22" s="10"/>
      <c r="E22" s="11" t="s">
        <v>66</v>
      </c>
      <c r="F22" s="11" t="s">
        <v>41</v>
      </c>
      <c r="G22" s="10" t="s">
        <v>134</v>
      </c>
      <c r="H22" s="10" t="s">
        <v>135</v>
      </c>
      <c r="I22" s="10"/>
      <c r="J22" s="12"/>
      <c r="K22" s="13"/>
    </row>
    <row r="23" ht="15" customHeight="1">
      <c r="A23" s="9" t="s">
        <v>136</v>
      </c>
      <c r="B23" s="10" t="s">
        <v>137</v>
      </c>
      <c r="C23" s="10" t="s">
        <v>133</v>
      </c>
      <c r="D23" s="10"/>
      <c r="E23" s="11" t="s">
        <v>40</v>
      </c>
      <c r="F23" s="11" t="s">
        <v>41</v>
      </c>
      <c r="G23" s="10" t="s">
        <v>138</v>
      </c>
      <c r="H23" s="10" t="s">
        <v>139</v>
      </c>
      <c r="I23" s="10"/>
      <c r="J23" s="12"/>
      <c r="K23" s="13"/>
    </row>
    <row r="24" ht="15" customHeight="1">
      <c r="A24" s="9" t="s">
        <v>140</v>
      </c>
      <c r="B24" s="10" t="s">
        <v>141</v>
      </c>
      <c r="C24" s="10" t="s">
        <v>133</v>
      </c>
      <c r="D24" s="10"/>
      <c r="E24" s="11" t="s">
        <v>40</v>
      </c>
      <c r="F24" s="11" t="s">
        <v>41</v>
      </c>
      <c r="G24" s="10" t="s">
        <v>142</v>
      </c>
      <c r="H24" s="10" t="s">
        <v>143</v>
      </c>
      <c r="I24" s="10"/>
      <c r="J24" s="12"/>
      <c r="K24" s="13"/>
    </row>
    <row r="25" ht="23.25" customHeight="1">
      <c r="A25" s="9" t="s">
        <v>144</v>
      </c>
      <c r="B25" s="10" t="s">
        <v>145</v>
      </c>
      <c r="C25" s="10" t="s">
        <v>133</v>
      </c>
      <c r="D25" s="10"/>
      <c r="E25" s="11" t="s">
        <v>75</v>
      </c>
      <c r="F25" s="11" t="s">
        <v>41</v>
      </c>
      <c r="G25" s="10" t="s">
        <v>146</v>
      </c>
      <c r="H25" s="10" t="s">
        <v>147</v>
      </c>
      <c r="I25" s="10"/>
      <c r="J25" s="12"/>
      <c r="K25" s="13"/>
    </row>
    <row r="26" ht="23.25" customHeight="1">
      <c r="A26" s="9" t="s">
        <v>148</v>
      </c>
      <c r="B26" s="10" t="s">
        <v>149</v>
      </c>
      <c r="C26" s="10" t="s">
        <v>133</v>
      </c>
      <c r="D26" s="10"/>
      <c r="E26" s="11" t="s">
        <v>80</v>
      </c>
      <c r="F26" s="11" t="s">
        <v>41</v>
      </c>
      <c r="G26" s="10" t="s">
        <v>150</v>
      </c>
      <c r="H26" s="10" t="s">
        <v>151</v>
      </c>
      <c r="I26" s="10"/>
      <c r="J26" s="12"/>
      <c r="K26" s="13"/>
    </row>
    <row r="27" ht="15" customHeight="1">
      <c r="A27" s="9" t="s">
        <v>152</v>
      </c>
      <c r="B27" s="10" t="s">
        <v>153</v>
      </c>
      <c r="C27" s="10" t="s">
        <v>133</v>
      </c>
      <c r="D27" s="10"/>
      <c r="E27" s="11" t="s">
        <v>66</v>
      </c>
      <c r="F27" s="11" t="s">
        <v>41</v>
      </c>
      <c r="G27" s="10" t="s">
        <v>154</v>
      </c>
      <c r="H27" s="10" t="s">
        <v>155</v>
      </c>
      <c r="I27" s="10"/>
      <c r="J27" s="12"/>
      <c r="K27" s="13"/>
    </row>
    <row r="28" ht="23.25" customHeight="1">
      <c r="A28" s="9" t="s">
        <v>156</v>
      </c>
      <c r="B28" s="10" t="s">
        <v>157</v>
      </c>
      <c r="C28" s="10" t="s">
        <v>158</v>
      </c>
      <c r="D28" s="10" t="s">
        <v>159</v>
      </c>
      <c r="E28" s="11" t="s">
        <v>66</v>
      </c>
      <c r="F28" s="11" t="s">
        <v>41</v>
      </c>
      <c r="G28" s="10" t="s">
        <v>160</v>
      </c>
      <c r="H28" s="10" t="s">
        <v>161</v>
      </c>
      <c r="I28" s="10"/>
      <c r="J28" s="12"/>
      <c r="K28" s="13"/>
    </row>
    <row r="29" ht="15" customHeight="1">
      <c r="A29" s="9" t="s">
        <v>162</v>
      </c>
      <c r="B29" s="10" t="s">
        <v>163</v>
      </c>
      <c r="C29" s="10" t="s">
        <v>158</v>
      </c>
      <c r="D29" s="10"/>
      <c r="E29" s="11" t="s">
        <v>75</v>
      </c>
      <c r="F29" s="11" t="s">
        <v>41</v>
      </c>
      <c r="G29" s="10" t="s">
        <v>164</v>
      </c>
      <c r="H29" s="10" t="s">
        <v>165</v>
      </c>
      <c r="I29" s="10"/>
      <c r="J29" s="12"/>
      <c r="K29" s="13"/>
    </row>
    <row r="30" ht="15" customHeight="1">
      <c r="A30" s="9" t="s">
        <v>166</v>
      </c>
      <c r="B30" s="10" t="s">
        <v>167</v>
      </c>
      <c r="C30" s="10" t="s">
        <v>158</v>
      </c>
      <c r="D30" s="10"/>
      <c r="E30" s="11" t="s">
        <v>40</v>
      </c>
      <c r="F30" s="11" t="s">
        <v>41</v>
      </c>
      <c r="G30" s="10" t="s">
        <v>168</v>
      </c>
      <c r="H30" s="10" t="s">
        <v>169</v>
      </c>
      <c r="I30" s="10"/>
      <c r="J30" s="12"/>
      <c r="K30" s="13"/>
    </row>
    <row r="31" ht="15" customHeight="1">
      <c r="A31" s="9" t="s">
        <v>170</v>
      </c>
      <c r="B31" s="10" t="s">
        <v>171</v>
      </c>
      <c r="C31" s="10" t="s">
        <v>158</v>
      </c>
      <c r="D31" s="10"/>
      <c r="E31" s="11" t="s">
        <v>40</v>
      </c>
      <c r="F31" s="11" t="s">
        <v>41</v>
      </c>
      <c r="G31" s="10" t="s">
        <v>172</v>
      </c>
      <c r="H31" s="10" t="s">
        <v>173</v>
      </c>
      <c r="I31" s="10"/>
      <c r="J31" s="12"/>
      <c r="K31" s="13"/>
    </row>
    <row r="32" ht="15" customHeight="1">
      <c r="A32" s="9" t="s">
        <v>174</v>
      </c>
      <c r="B32" s="10" t="s">
        <v>175</v>
      </c>
      <c r="C32" s="10" t="s">
        <v>158</v>
      </c>
      <c r="D32" s="10"/>
      <c r="E32" s="11" t="s">
        <v>85</v>
      </c>
      <c r="F32" s="11" t="s">
        <v>41</v>
      </c>
      <c r="G32" s="10" t="s">
        <v>176</v>
      </c>
      <c r="H32" s="10" t="s">
        <v>177</v>
      </c>
      <c r="I32" s="10"/>
      <c r="J32" s="12"/>
      <c r="K32" s="13"/>
    </row>
    <row r="33" ht="15" customHeight="1">
      <c r="A33" s="9" t="s">
        <v>178</v>
      </c>
      <c r="B33" s="10" t="s">
        <v>179</v>
      </c>
      <c r="C33" s="10" t="s">
        <v>158</v>
      </c>
      <c r="D33" s="10"/>
      <c r="E33" s="11" t="s">
        <v>80</v>
      </c>
      <c r="F33" s="11" t="s">
        <v>180</v>
      </c>
      <c r="G33" s="10" t="s">
        <v>181</v>
      </c>
      <c r="H33" s="10" t="s">
        <v>182</v>
      </c>
      <c r="I33" s="10"/>
      <c r="J33" s="12"/>
      <c r="K33" s="13"/>
    </row>
    <row r="34" ht="15" customHeight="1">
      <c r="A34" s="9" t="s">
        <v>183</v>
      </c>
      <c r="B34" s="10" t="s">
        <v>184</v>
      </c>
      <c r="C34" s="10" t="s">
        <v>185</v>
      </c>
      <c r="D34" s="10" t="s">
        <v>39</v>
      </c>
      <c r="E34" s="11" t="s">
        <v>66</v>
      </c>
      <c r="F34" s="11" t="s">
        <v>41</v>
      </c>
      <c r="G34" s="10" t="s">
        <v>186</v>
      </c>
      <c r="H34" s="10" t="s">
        <v>187</v>
      </c>
      <c r="I34" s="10"/>
      <c r="J34" s="12"/>
      <c r="K34" s="13"/>
    </row>
    <row r="35" ht="23.25" customHeight="1">
      <c r="A35" s="9" t="s">
        <v>188</v>
      </c>
      <c r="B35" s="10" t="s">
        <v>189</v>
      </c>
      <c r="C35" s="10" t="s">
        <v>185</v>
      </c>
      <c r="D35" s="10"/>
      <c r="E35" s="11" t="s">
        <v>85</v>
      </c>
      <c r="F35" s="11" t="s">
        <v>41</v>
      </c>
      <c r="G35" s="10" t="s">
        <v>190</v>
      </c>
      <c r="H35" s="10" t="s">
        <v>191</v>
      </c>
      <c r="I35" s="10"/>
      <c r="J35" s="12"/>
      <c r="K35" s="13"/>
    </row>
    <row r="36" ht="23.25" customHeight="1">
      <c r="A36" s="9" t="s">
        <v>192</v>
      </c>
      <c r="B36" s="10" t="s">
        <v>193</v>
      </c>
      <c r="C36" s="10" t="s">
        <v>185</v>
      </c>
      <c r="D36" s="10"/>
      <c r="E36" s="11" t="s">
        <v>40</v>
      </c>
      <c r="F36" s="11" t="s">
        <v>41</v>
      </c>
      <c r="G36" s="10" t="s">
        <v>194</v>
      </c>
      <c r="H36" s="10" t="s">
        <v>195</v>
      </c>
      <c r="I36" s="10"/>
      <c r="J36" s="12"/>
      <c r="K36" s="13"/>
    </row>
    <row r="37" ht="23.25" customHeight="1">
      <c r="A37" s="9" t="s">
        <v>196</v>
      </c>
      <c r="B37" s="10" t="s">
        <v>197</v>
      </c>
      <c r="C37" s="10" t="s">
        <v>185</v>
      </c>
      <c r="D37" s="10"/>
      <c r="E37" s="11" t="s">
        <v>75</v>
      </c>
      <c r="F37" s="11" t="s">
        <v>41</v>
      </c>
      <c r="G37" s="10" t="s">
        <v>198</v>
      </c>
      <c r="H37" s="10" t="s">
        <v>199</v>
      </c>
      <c r="I37" s="10"/>
      <c r="J37" s="12"/>
      <c r="K37" s="13"/>
    </row>
    <row r="38" ht="23.25" customHeight="1">
      <c r="A38" s="9" t="s">
        <v>200</v>
      </c>
      <c r="B38" s="10" t="s">
        <v>201</v>
      </c>
      <c r="C38" s="10" t="s">
        <v>185</v>
      </c>
      <c r="D38" s="10"/>
      <c r="E38" s="11" t="s">
        <v>40</v>
      </c>
      <c r="F38" s="11" t="s">
        <v>41</v>
      </c>
      <c r="G38" s="10" t="s">
        <v>202</v>
      </c>
      <c r="H38" s="10" t="s">
        <v>203</v>
      </c>
      <c r="I38" s="10"/>
      <c r="J38" s="12"/>
      <c r="K38" s="13"/>
    </row>
    <row r="39" ht="15" customHeight="1">
      <c r="A39" s="9" t="s">
        <v>204</v>
      </c>
      <c r="B39" s="10" t="s">
        <v>205</v>
      </c>
      <c r="C39" s="10" t="s">
        <v>185</v>
      </c>
      <c r="D39" s="10"/>
      <c r="E39" s="11" t="s">
        <v>66</v>
      </c>
      <c r="F39" s="11" t="s">
        <v>41</v>
      </c>
      <c r="G39" s="10" t="s">
        <v>206</v>
      </c>
      <c r="H39" s="10" t="s">
        <v>207</v>
      </c>
      <c r="I39" s="10"/>
      <c r="J39" s="12"/>
      <c r="K39" s="13"/>
    </row>
    <row r="40" ht="15" customHeight="1">
      <c r="A40" s="9" t="s">
        <v>208</v>
      </c>
      <c r="B40" s="10" t="s">
        <v>209</v>
      </c>
      <c r="C40" s="10" t="s">
        <v>185</v>
      </c>
      <c r="D40" s="10"/>
      <c r="E40" s="11" t="s">
        <v>75</v>
      </c>
      <c r="F40" s="11" t="s">
        <v>180</v>
      </c>
      <c r="G40" s="10" t="s">
        <v>210</v>
      </c>
      <c r="H40" s="10" t="s">
        <v>211</v>
      </c>
      <c r="I40" s="10"/>
      <c r="J40" s="12"/>
      <c r="K40" s="13"/>
    </row>
    <row r="41" ht="23.25" customHeight="1">
      <c r="A41" s="9" t="s">
        <v>212</v>
      </c>
      <c r="B41" s="10" t="s">
        <v>213</v>
      </c>
      <c r="C41" s="10" t="s">
        <v>185</v>
      </c>
      <c r="D41" s="10"/>
      <c r="E41" s="11" t="s">
        <v>85</v>
      </c>
      <c r="F41" s="11" t="s">
        <v>180</v>
      </c>
      <c r="G41" s="10" t="s">
        <v>214</v>
      </c>
      <c r="H41" s="10" t="s">
        <v>215</v>
      </c>
      <c r="I41" s="10"/>
      <c r="J41" s="12"/>
      <c r="K41" s="13"/>
    </row>
    <row r="42" ht="23.25" customHeight="1">
      <c r="A42" s="9" t="s">
        <v>216</v>
      </c>
      <c r="B42" s="10" t="s">
        <v>217</v>
      </c>
      <c r="C42" s="10" t="s">
        <v>107</v>
      </c>
      <c r="D42" s="10"/>
      <c r="E42" s="11" t="s">
        <v>66</v>
      </c>
      <c r="F42" s="11" t="s">
        <v>41</v>
      </c>
      <c r="G42" s="10" t="s">
        <v>218</v>
      </c>
      <c r="H42" s="10" t="s">
        <v>219</v>
      </c>
      <c r="I42" s="10"/>
      <c r="J42" s="12"/>
      <c r="K42" s="13"/>
    </row>
    <row r="43" ht="15" customHeight="1">
      <c r="A43" s="9" t="s">
        <v>220</v>
      </c>
      <c r="B43" s="10" t="s">
        <v>221</v>
      </c>
      <c r="C43" s="10" t="s">
        <v>107</v>
      </c>
      <c r="D43" s="10"/>
      <c r="E43" s="11" t="s">
        <v>40</v>
      </c>
      <c r="F43" s="11" t="s">
        <v>41</v>
      </c>
      <c r="G43" s="10" t="s">
        <v>222</v>
      </c>
      <c r="H43" s="10" t="s">
        <v>223</v>
      </c>
      <c r="I43" s="10"/>
      <c r="J43" s="12"/>
      <c r="K43" s="13"/>
    </row>
    <row r="44" ht="15" customHeight="1">
      <c r="A44" s="9" t="s">
        <v>224</v>
      </c>
      <c r="B44" s="10" t="s">
        <v>225</v>
      </c>
      <c r="C44" s="10" t="s">
        <v>107</v>
      </c>
      <c r="D44" s="10"/>
      <c r="E44" s="11" t="s">
        <v>75</v>
      </c>
      <c r="F44" s="11" t="s">
        <v>41</v>
      </c>
      <c r="G44" s="10" t="s">
        <v>226</v>
      </c>
      <c r="H44" s="10" t="s">
        <v>227</v>
      </c>
      <c r="I44" s="10"/>
      <c r="J44" s="12"/>
      <c r="K44" s="13"/>
    </row>
    <row r="45" ht="15" customHeight="1">
      <c r="A45" s="9" t="s">
        <v>228</v>
      </c>
      <c r="B45" s="10" t="s">
        <v>229</v>
      </c>
      <c r="C45" s="10" t="s">
        <v>107</v>
      </c>
      <c r="D45" s="10"/>
      <c r="E45" s="11" t="s">
        <v>80</v>
      </c>
      <c r="F45" s="11" t="s">
        <v>41</v>
      </c>
      <c r="G45" s="10" t="s">
        <v>230</v>
      </c>
      <c r="H45" s="10" t="s">
        <v>231</v>
      </c>
      <c r="I45" s="10"/>
      <c r="J45" s="12"/>
      <c r="K45" s="13"/>
    </row>
    <row r="46" ht="15" customHeight="1">
      <c r="A46" s="9" t="s">
        <v>232</v>
      </c>
      <c r="B46" s="10" t="s">
        <v>233</v>
      </c>
      <c r="C46" s="10" t="s">
        <v>107</v>
      </c>
      <c r="D46" s="10"/>
      <c r="E46" s="11" t="s">
        <v>85</v>
      </c>
      <c r="F46" s="11" t="s">
        <v>41</v>
      </c>
      <c r="G46" s="10" t="s">
        <v>234</v>
      </c>
      <c r="H46" s="10" t="s">
        <v>235</v>
      </c>
      <c r="I46" s="10"/>
      <c r="J46" s="12"/>
      <c r="K46" s="13"/>
    </row>
    <row r="47" ht="15" customHeight="1">
      <c r="A47" s="14"/>
      <c r="B47" s="14"/>
      <c r="C47" s="14"/>
      <c r="D47" s="14"/>
      <c r="E47" s="14"/>
      <c r="F47" s="14"/>
      <c r="G47" s="14"/>
      <c r="H47" s="14"/>
      <c r="I47" s="14"/>
      <c r="J47" s="12"/>
      <c r="K47" s="13"/>
    </row>
    <row r="48" ht="15" customHeight="1">
      <c r="A48" s="14"/>
      <c r="B48" s="14"/>
      <c r="C48" s="14"/>
      <c r="D48" s="14"/>
      <c r="E48" s="14"/>
      <c r="F48" s="14"/>
      <c r="G48" s="14"/>
      <c r="H48" s="14"/>
      <c r="I48" s="14"/>
      <c r="J48" s="12"/>
      <c r="K48" s="13"/>
    </row>
    <row r="49" ht="15" customHeight="1">
      <c r="A49" s="14"/>
      <c r="B49" s="14"/>
      <c r="C49" s="14"/>
      <c r="D49" s="14"/>
      <c r="E49" s="14"/>
      <c r="F49" s="14"/>
      <c r="G49" s="14"/>
      <c r="H49" s="14"/>
      <c r="I49" s="14"/>
      <c r="J49" s="12"/>
      <c r="K49" s="13"/>
    </row>
    <row r="50" ht="15" customHeight="1">
      <c r="A50" s="14"/>
      <c r="B50" s="14"/>
      <c r="C50" s="14"/>
      <c r="D50" s="14"/>
      <c r="E50" s="14"/>
      <c r="F50" s="14"/>
      <c r="G50" s="14"/>
      <c r="H50" s="14"/>
      <c r="I50" s="14"/>
      <c r="J50" s="12"/>
      <c r="K50" s="13"/>
    </row>
    <row r="51" ht="15" customHeight="1">
      <c r="A51" s="14"/>
      <c r="B51" s="14"/>
      <c r="C51" s="14"/>
      <c r="D51" s="14"/>
      <c r="E51" s="14"/>
      <c r="F51" s="14"/>
      <c r="G51" s="14"/>
      <c r="H51" s="14"/>
      <c r="I51" s="14"/>
      <c r="J51" s="12"/>
      <c r="K51" s="13"/>
    </row>
    <row r="52" ht="15" customHeight="1">
      <c r="A52" s="14"/>
      <c r="B52" s="14"/>
      <c r="C52" s="14"/>
      <c r="D52" s="14"/>
      <c r="E52" s="14"/>
      <c r="F52" s="14"/>
      <c r="G52" s="14"/>
      <c r="H52" s="14"/>
      <c r="I52" s="14"/>
      <c r="J52" s="12"/>
      <c r="K52" s="13"/>
    </row>
    <row r="53" ht="15" customHeight="1">
      <c r="A53" s="14"/>
      <c r="B53" s="14"/>
      <c r="C53" s="14"/>
      <c r="D53" s="14"/>
      <c r="E53" s="14"/>
      <c r="F53" s="14"/>
      <c r="G53" s="14"/>
      <c r="H53" s="14"/>
      <c r="I53" s="14"/>
      <c r="J53" s="12"/>
      <c r="K53" s="13"/>
    </row>
    <row r="54" ht="15" customHeight="1">
      <c r="A54" s="14"/>
      <c r="B54" s="14"/>
      <c r="C54" s="14"/>
      <c r="D54" s="14"/>
      <c r="E54" s="14"/>
      <c r="F54" s="14"/>
      <c r="G54" s="14"/>
      <c r="H54" s="14"/>
      <c r="I54" s="14"/>
      <c r="J54" s="12"/>
      <c r="K54" s="13"/>
    </row>
    <row r="55" ht="15" customHeight="1">
      <c r="A55" s="14"/>
      <c r="B55" s="14"/>
      <c r="C55" s="14"/>
      <c r="D55" s="14"/>
      <c r="E55" s="14"/>
      <c r="F55" s="14"/>
      <c r="G55" s="14"/>
      <c r="H55" s="14"/>
      <c r="I55" s="14"/>
      <c r="J55" s="12"/>
      <c r="K55" s="13"/>
    </row>
    <row r="56" ht="15" customHeight="1">
      <c r="A56" s="14"/>
      <c r="B56" s="14"/>
      <c r="C56" s="14"/>
      <c r="D56" s="14"/>
      <c r="E56" s="14"/>
      <c r="F56" s="14"/>
      <c r="G56" s="14"/>
      <c r="H56" s="14"/>
      <c r="I56" s="14"/>
      <c r="J56" s="12"/>
      <c r="K56" s="13"/>
    </row>
    <row r="57" ht="15" customHeight="1">
      <c r="A57" s="14"/>
      <c r="B57" s="14"/>
      <c r="C57" s="14"/>
      <c r="D57" s="14"/>
      <c r="E57" s="14"/>
      <c r="F57" s="14"/>
      <c r="G57" s="14"/>
      <c r="H57" s="14"/>
      <c r="I57" s="14"/>
      <c r="J57" s="12"/>
      <c r="K57" s="13"/>
    </row>
    <row r="58" ht="15" customHeight="1">
      <c r="A58" s="14"/>
      <c r="B58" s="14"/>
      <c r="C58" s="14"/>
      <c r="D58" s="14"/>
      <c r="E58" s="14"/>
      <c r="F58" s="14"/>
      <c r="G58" s="14"/>
      <c r="H58" s="14"/>
      <c r="I58" s="14"/>
      <c r="J58" s="12"/>
      <c r="K58" s="13"/>
    </row>
    <row r="59" ht="15" customHeight="1">
      <c r="A59" s="14"/>
      <c r="B59" s="14"/>
      <c r="C59" s="14"/>
      <c r="D59" s="14"/>
      <c r="E59" s="14"/>
      <c r="F59" s="14"/>
      <c r="G59" s="14"/>
      <c r="H59" s="14"/>
      <c r="I59" s="14"/>
      <c r="J59" s="12"/>
      <c r="K59" s="13"/>
    </row>
    <row r="60" ht="15" customHeight="1">
      <c r="A60" s="14"/>
      <c r="B60" s="14"/>
      <c r="C60" s="14"/>
      <c r="D60" s="14"/>
      <c r="E60" s="14"/>
      <c r="F60" s="14"/>
      <c r="G60" s="14"/>
      <c r="H60" s="14"/>
      <c r="I60" s="14"/>
      <c r="J60" s="12"/>
      <c r="K60" s="13"/>
    </row>
    <row r="61" ht="15" customHeight="1">
      <c r="A61" s="14"/>
      <c r="B61" s="14"/>
      <c r="C61" s="14"/>
      <c r="D61" s="14"/>
      <c r="E61" s="14"/>
      <c r="F61" s="14"/>
      <c r="G61" s="14"/>
      <c r="H61" s="14"/>
      <c r="I61" s="14"/>
      <c r="J61" s="12"/>
      <c r="K61" s="13"/>
    </row>
    <row r="62" ht="15" customHeight="1">
      <c r="A62" s="14"/>
      <c r="B62" s="14"/>
      <c r="C62" s="14"/>
      <c r="D62" s="14"/>
      <c r="E62" s="14"/>
      <c r="F62" s="14"/>
      <c r="G62" s="14"/>
      <c r="H62" s="14"/>
      <c r="I62" s="14"/>
      <c r="J62" s="12"/>
      <c r="K62" s="13"/>
    </row>
    <row r="63" ht="15" customHeight="1">
      <c r="A63" s="14"/>
      <c r="B63" s="14"/>
      <c r="C63" s="14"/>
      <c r="D63" s="14"/>
      <c r="E63" s="14"/>
      <c r="F63" s="14"/>
      <c r="G63" s="14"/>
      <c r="H63" s="14"/>
      <c r="I63" s="14"/>
      <c r="J63" s="12"/>
      <c r="K63" s="13"/>
    </row>
    <row r="64" ht="15" customHeight="1">
      <c r="A64" s="14"/>
      <c r="B64" s="14"/>
      <c r="C64" s="14"/>
      <c r="D64" s="14"/>
      <c r="E64" s="14"/>
      <c r="F64" s="14"/>
      <c r="G64" s="14"/>
      <c r="H64" s="14"/>
      <c r="I64" s="14"/>
      <c r="J64" s="12"/>
      <c r="K64" s="13"/>
    </row>
    <row r="65" ht="15" customHeight="1">
      <c r="A65" s="14"/>
      <c r="B65" s="14"/>
      <c r="C65" s="14"/>
      <c r="D65" s="14"/>
      <c r="E65" s="14"/>
      <c r="F65" s="14"/>
      <c r="G65" s="14"/>
      <c r="H65" s="14"/>
      <c r="I65" s="14"/>
      <c r="J65" s="12"/>
      <c r="K65" s="13"/>
    </row>
    <row r="66" ht="15" customHeight="1">
      <c r="A66" s="14"/>
      <c r="B66" s="14"/>
      <c r="C66" s="14"/>
      <c r="D66" s="14"/>
      <c r="E66" s="14"/>
      <c r="F66" s="14"/>
      <c r="G66" s="14"/>
      <c r="H66" s="14"/>
      <c r="I66" s="14"/>
      <c r="J66" s="12"/>
      <c r="K66" s="13"/>
    </row>
    <row r="67" ht="15" customHeight="1">
      <c r="A67" s="14"/>
      <c r="B67" s="14"/>
      <c r="C67" s="14"/>
      <c r="D67" s="14"/>
      <c r="E67" s="14"/>
      <c r="F67" s="14"/>
      <c r="G67" s="14"/>
      <c r="H67" s="14"/>
      <c r="I67" s="14"/>
      <c r="J67" s="12"/>
      <c r="K67" s="13"/>
    </row>
    <row r="68" ht="15" customHeight="1">
      <c r="A68" s="14"/>
      <c r="B68" s="14"/>
      <c r="C68" s="14"/>
      <c r="D68" s="14"/>
      <c r="E68" s="14"/>
      <c r="F68" s="14"/>
      <c r="G68" s="14"/>
      <c r="H68" s="14"/>
      <c r="I68" s="14"/>
      <c r="J68" s="12"/>
      <c r="K68" s="13"/>
    </row>
    <row r="69" ht="15" customHeight="1">
      <c r="A69" s="14"/>
      <c r="B69" s="14"/>
      <c r="C69" s="14"/>
      <c r="D69" s="14"/>
      <c r="E69" s="14"/>
      <c r="F69" s="14"/>
      <c r="G69" s="14"/>
      <c r="H69" s="14"/>
      <c r="I69" s="14"/>
      <c r="J69" s="12"/>
      <c r="K69" s="13"/>
    </row>
    <row r="70" ht="15" customHeight="1">
      <c r="A70" s="14"/>
      <c r="B70" s="14"/>
      <c r="C70" s="14"/>
      <c r="D70" s="14"/>
      <c r="E70" s="14"/>
      <c r="F70" s="14"/>
      <c r="G70" s="14"/>
      <c r="H70" s="14"/>
      <c r="I70" s="14"/>
      <c r="J70" s="12"/>
      <c r="K70" s="13"/>
    </row>
    <row r="71" ht="15" customHeight="1">
      <c r="A71" s="14"/>
      <c r="B71" s="14"/>
      <c r="C71" s="14"/>
      <c r="D71" s="14"/>
      <c r="E71" s="14"/>
      <c r="F71" s="14"/>
      <c r="G71" s="14"/>
      <c r="H71" s="14"/>
      <c r="I71" s="14"/>
      <c r="J71" s="12"/>
      <c r="K71" s="13"/>
    </row>
    <row r="72" ht="15" customHeight="1">
      <c r="A72" s="14"/>
      <c r="B72" s="14"/>
      <c r="C72" s="14"/>
      <c r="D72" s="14"/>
      <c r="E72" s="14"/>
      <c r="F72" s="14"/>
      <c r="G72" s="14"/>
      <c r="H72" s="14"/>
      <c r="I72" s="14"/>
      <c r="J72" s="12"/>
      <c r="K72" s="13"/>
    </row>
    <row r="73" ht="15" customHeight="1">
      <c r="A73" s="14"/>
      <c r="B73" s="14"/>
      <c r="C73" s="14"/>
      <c r="D73" s="14"/>
      <c r="E73" s="14"/>
      <c r="F73" s="14"/>
      <c r="G73" s="14"/>
      <c r="H73" s="14"/>
      <c r="I73" s="14"/>
      <c r="J73" s="12"/>
      <c r="K73" s="13"/>
    </row>
    <row r="74" ht="15" customHeight="1">
      <c r="A74" s="14"/>
      <c r="B74" s="14"/>
      <c r="C74" s="14"/>
      <c r="D74" s="14"/>
      <c r="E74" s="14"/>
      <c r="F74" s="14"/>
      <c r="G74" s="14"/>
      <c r="H74" s="14"/>
      <c r="I74" s="14"/>
      <c r="J74" s="12"/>
      <c r="K74" s="13"/>
    </row>
    <row r="75" ht="15" customHeight="1">
      <c r="A75" s="14"/>
      <c r="B75" s="14"/>
      <c r="C75" s="14"/>
      <c r="D75" s="14"/>
      <c r="E75" s="14"/>
      <c r="F75" s="14"/>
      <c r="G75" s="14"/>
      <c r="H75" s="14"/>
      <c r="I75" s="14"/>
      <c r="J75" s="12"/>
      <c r="K75" s="13"/>
    </row>
    <row r="76" ht="15" customHeight="1">
      <c r="A76" s="14"/>
      <c r="B76" s="14"/>
      <c r="C76" s="14"/>
      <c r="D76" s="14"/>
      <c r="E76" s="14"/>
      <c r="F76" s="14"/>
      <c r="G76" s="14"/>
      <c r="H76" s="14"/>
      <c r="I76" s="14"/>
      <c r="J76" s="12"/>
      <c r="K76" s="13"/>
    </row>
    <row r="77" ht="15" customHeight="1">
      <c r="A77" s="14"/>
      <c r="B77" s="14"/>
      <c r="C77" s="14"/>
      <c r="D77" s="14"/>
      <c r="E77" s="14"/>
      <c r="F77" s="14"/>
      <c r="G77" s="14"/>
      <c r="H77" s="14"/>
      <c r="I77" s="14"/>
      <c r="J77" s="12"/>
      <c r="K77" s="13"/>
    </row>
    <row r="78" ht="15" customHeight="1">
      <c r="A78" s="14"/>
      <c r="B78" s="14"/>
      <c r="C78" s="14"/>
      <c r="D78" s="14"/>
      <c r="E78" s="14"/>
      <c r="F78" s="14"/>
      <c r="G78" s="14"/>
      <c r="H78" s="14"/>
      <c r="I78" s="14"/>
      <c r="J78" s="12"/>
      <c r="K78" s="13"/>
    </row>
    <row r="79" ht="15" customHeight="1">
      <c r="A79" s="14"/>
      <c r="B79" s="14"/>
      <c r="C79" s="14"/>
      <c r="D79" s="14"/>
      <c r="E79" s="14"/>
      <c r="F79" s="14"/>
      <c r="G79" s="14"/>
      <c r="H79" s="14"/>
      <c r="I79" s="14"/>
      <c r="J79" s="12"/>
      <c r="K79" s="13"/>
    </row>
    <row r="80" ht="15" customHeight="1">
      <c r="A80" s="14"/>
      <c r="B80" s="14"/>
      <c r="C80" s="14"/>
      <c r="D80" s="14"/>
      <c r="E80" s="14"/>
      <c r="F80" s="14"/>
      <c r="G80" s="14"/>
      <c r="H80" s="14"/>
      <c r="I80" s="14"/>
      <c r="J80" s="12"/>
      <c r="K80" s="13"/>
    </row>
    <row r="81" ht="15" customHeight="1">
      <c r="A81" s="14"/>
      <c r="B81" s="14"/>
      <c r="C81" s="14"/>
      <c r="D81" s="14"/>
      <c r="E81" s="14"/>
      <c r="F81" s="14"/>
      <c r="G81" s="14"/>
      <c r="H81" s="14"/>
      <c r="I81" s="14"/>
      <c r="J81" s="12"/>
      <c r="K81" s="13"/>
    </row>
    <row r="82" ht="15" customHeight="1">
      <c r="A82" s="14"/>
      <c r="B82" s="14"/>
      <c r="C82" s="14"/>
      <c r="D82" s="14"/>
      <c r="E82" s="14"/>
      <c r="F82" s="14"/>
      <c r="G82" s="14"/>
      <c r="H82" s="14"/>
      <c r="I82" s="14"/>
      <c r="J82" s="12"/>
      <c r="K82" s="13"/>
    </row>
    <row r="83" ht="15" customHeight="1">
      <c r="A83" s="14"/>
      <c r="B83" s="14"/>
      <c r="C83" s="14"/>
      <c r="D83" s="14"/>
      <c r="E83" s="14"/>
      <c r="F83" s="14"/>
      <c r="G83" s="14"/>
      <c r="H83" s="14"/>
      <c r="I83" s="14"/>
      <c r="J83" s="12"/>
      <c r="K83" s="13"/>
    </row>
    <row r="84" ht="15" customHeight="1">
      <c r="A84" s="14"/>
      <c r="B84" s="14"/>
      <c r="C84" s="14"/>
      <c r="D84" s="14"/>
      <c r="E84" s="14"/>
      <c r="F84" s="14"/>
      <c r="G84" s="14"/>
      <c r="H84" s="14"/>
      <c r="I84" s="14"/>
      <c r="J84" s="12"/>
      <c r="K84" s="13"/>
    </row>
    <row r="85" ht="15" customHeight="1">
      <c r="A85" s="14"/>
      <c r="B85" s="14"/>
      <c r="C85" s="14"/>
      <c r="D85" s="14"/>
      <c r="E85" s="14"/>
      <c r="F85" s="14"/>
      <c r="G85" s="14"/>
      <c r="H85" s="14"/>
      <c r="I85" s="14"/>
      <c r="J85" s="12"/>
      <c r="K85" s="13"/>
    </row>
    <row r="86" ht="15" customHeight="1">
      <c r="A86" s="14"/>
      <c r="B86" s="14"/>
      <c r="C86" s="14"/>
      <c r="D86" s="14"/>
      <c r="E86" s="14"/>
      <c r="F86" s="14"/>
      <c r="G86" s="14"/>
      <c r="H86" s="14"/>
      <c r="I86" s="14"/>
      <c r="J86" s="12"/>
      <c r="K86" s="13"/>
    </row>
    <row r="87" ht="15" customHeight="1">
      <c r="A87" s="14"/>
      <c r="B87" s="14"/>
      <c r="C87" s="14"/>
      <c r="D87" s="14"/>
      <c r="E87" s="14"/>
      <c r="F87" s="14"/>
      <c r="G87" s="14"/>
      <c r="H87" s="14"/>
      <c r="I87" s="14"/>
      <c r="J87" s="12"/>
      <c r="K87" s="13"/>
    </row>
    <row r="88" ht="15" customHeight="1">
      <c r="A88" s="14"/>
      <c r="B88" s="14"/>
      <c r="C88" s="14"/>
      <c r="D88" s="14"/>
      <c r="E88" s="14"/>
      <c r="F88" s="14"/>
      <c r="G88" s="14"/>
      <c r="H88" s="14"/>
      <c r="I88" s="14"/>
      <c r="J88" s="12"/>
      <c r="K88" s="13"/>
    </row>
    <row r="89" ht="15" customHeight="1">
      <c r="A89" s="14"/>
      <c r="B89" s="14"/>
      <c r="C89" s="14"/>
      <c r="D89" s="14"/>
      <c r="E89" s="14"/>
      <c r="F89" s="14"/>
      <c r="G89" s="14"/>
      <c r="H89" s="14"/>
      <c r="I89" s="14"/>
      <c r="J89" s="12"/>
      <c r="K89" s="13"/>
    </row>
    <row r="90" ht="15" customHeight="1">
      <c r="A90" s="14"/>
      <c r="B90" s="14"/>
      <c r="C90" s="14"/>
      <c r="D90" s="14"/>
      <c r="E90" s="14"/>
      <c r="F90" s="14"/>
      <c r="G90" s="14"/>
      <c r="H90" s="14"/>
      <c r="I90" s="14"/>
      <c r="J90" s="12"/>
      <c r="K90" s="13"/>
    </row>
    <row r="91" ht="15" customHeight="1">
      <c r="A91" s="14"/>
      <c r="B91" s="14"/>
      <c r="C91" s="14"/>
      <c r="D91" s="14"/>
      <c r="E91" s="14"/>
      <c r="F91" s="14"/>
      <c r="G91" s="14"/>
      <c r="H91" s="14"/>
      <c r="I91" s="14"/>
      <c r="J91" s="12"/>
      <c r="K91" s="13"/>
    </row>
    <row r="92" ht="15" customHeight="1">
      <c r="A92" s="14"/>
      <c r="B92" s="14"/>
      <c r="C92" s="14"/>
      <c r="D92" s="14"/>
      <c r="E92" s="14"/>
      <c r="F92" s="14"/>
      <c r="G92" s="14"/>
      <c r="H92" s="14"/>
      <c r="I92" s="14"/>
      <c r="J92" s="12"/>
      <c r="K92" s="13"/>
    </row>
    <row r="93" ht="15" customHeight="1">
      <c r="A93" s="14"/>
      <c r="B93" s="14"/>
      <c r="C93" s="14"/>
      <c r="D93" s="14"/>
      <c r="E93" s="14"/>
      <c r="F93" s="14"/>
      <c r="G93" s="14"/>
      <c r="H93" s="14"/>
      <c r="I93" s="14"/>
      <c r="J93" s="12"/>
      <c r="K93" s="13"/>
    </row>
    <row r="94" ht="15" customHeight="1">
      <c r="A94" s="14"/>
      <c r="B94" s="14"/>
      <c r="C94" s="14"/>
      <c r="D94" s="14"/>
      <c r="E94" s="14"/>
      <c r="F94" s="14"/>
      <c r="G94" s="14"/>
      <c r="H94" s="14"/>
      <c r="I94" s="14"/>
      <c r="J94" s="12"/>
      <c r="K94" s="13"/>
    </row>
    <row r="95" ht="15" customHeight="1">
      <c r="A95" s="14"/>
      <c r="B95" s="14"/>
      <c r="C95" s="14"/>
      <c r="D95" s="14"/>
      <c r="E95" s="14"/>
      <c r="F95" s="14"/>
      <c r="G95" s="14"/>
      <c r="H95" s="14"/>
      <c r="I95" s="14"/>
      <c r="J95" s="12"/>
      <c r="K95" s="13"/>
    </row>
    <row r="96" ht="15" customHeight="1">
      <c r="A96" s="14"/>
      <c r="B96" s="14"/>
      <c r="C96" s="14"/>
      <c r="D96" s="14"/>
      <c r="E96" s="14"/>
      <c r="F96" s="14"/>
      <c r="G96" s="14"/>
      <c r="H96" s="14"/>
      <c r="I96" s="14"/>
      <c r="J96" s="12"/>
      <c r="K96" s="13"/>
    </row>
    <row r="97" ht="15" customHeight="1">
      <c r="A97" s="14"/>
      <c r="B97" s="14"/>
      <c r="C97" s="14"/>
      <c r="D97" s="14"/>
      <c r="E97" s="14"/>
      <c r="F97" s="14"/>
      <c r="G97" s="14"/>
      <c r="H97" s="14"/>
      <c r="I97" s="14"/>
      <c r="J97" s="12"/>
      <c r="K97" s="13"/>
    </row>
    <row r="98" ht="15" customHeight="1">
      <c r="A98" s="14"/>
      <c r="B98" s="14"/>
      <c r="C98" s="14"/>
      <c r="D98" s="14"/>
      <c r="E98" s="14"/>
      <c r="F98" s="14"/>
      <c r="G98" s="14"/>
      <c r="H98" s="14"/>
      <c r="I98" s="14"/>
      <c r="J98" s="12"/>
      <c r="K98" s="13"/>
    </row>
    <row r="99" ht="15" customHeight="1">
      <c r="A99" s="14"/>
      <c r="B99" s="14"/>
      <c r="C99" s="14"/>
      <c r="D99" s="14"/>
      <c r="E99" s="14"/>
      <c r="F99" s="14"/>
      <c r="G99" s="14"/>
      <c r="H99" s="14"/>
      <c r="I99" s="14"/>
      <c r="J99" s="12"/>
      <c r="K99" s="13"/>
    </row>
    <row r="100" ht="15" customHeight="1">
      <c r="A100" s="14"/>
      <c r="B100" s="14"/>
      <c r="C100" s="14"/>
      <c r="D100" s="14"/>
      <c r="E100" s="14"/>
      <c r="F100" s="14"/>
      <c r="G100" s="14"/>
      <c r="H100" s="14"/>
      <c r="I100" s="14"/>
      <c r="J100" s="12"/>
      <c r="K100" s="13"/>
    </row>
    <row r="101" ht="15" customHeight="1">
      <c r="A101" s="14"/>
      <c r="B101" s="14"/>
      <c r="C101" s="14"/>
      <c r="D101" s="14"/>
      <c r="E101" s="14"/>
      <c r="F101" s="14"/>
      <c r="G101" s="14"/>
      <c r="H101" s="14"/>
      <c r="I101" s="14"/>
      <c r="J101" s="12"/>
      <c r="K101" s="13"/>
    </row>
    <row r="102" ht="15" customHeight="1">
      <c r="A102" s="14"/>
      <c r="B102" s="14"/>
      <c r="C102" s="14"/>
      <c r="D102" s="14"/>
      <c r="E102" s="14"/>
      <c r="F102" s="14"/>
      <c r="G102" s="14"/>
      <c r="H102" s="14"/>
      <c r="I102" s="14"/>
      <c r="J102" s="12"/>
      <c r="K102" s="13"/>
    </row>
    <row r="103" ht="15" customHeight="1">
      <c r="A103" s="14"/>
      <c r="B103" s="14"/>
      <c r="C103" s="14"/>
      <c r="D103" s="14"/>
      <c r="E103" s="14"/>
      <c r="F103" s="14"/>
      <c r="G103" s="14"/>
      <c r="H103" s="14"/>
      <c r="I103" s="14"/>
      <c r="J103" s="12"/>
      <c r="K103" s="13"/>
    </row>
    <row r="104" ht="15" customHeight="1">
      <c r="A104" s="14"/>
      <c r="B104" s="14"/>
      <c r="C104" s="14"/>
      <c r="D104" s="14"/>
      <c r="E104" s="14"/>
      <c r="F104" s="14"/>
      <c r="G104" s="14"/>
      <c r="H104" s="14"/>
      <c r="I104" s="14"/>
      <c r="J104" s="12"/>
      <c r="K104" s="13"/>
    </row>
    <row r="105" ht="15" customHeight="1">
      <c r="A105" s="14"/>
      <c r="B105" s="14"/>
      <c r="C105" s="14"/>
      <c r="D105" s="14"/>
      <c r="E105" s="14"/>
      <c r="F105" s="14"/>
      <c r="G105" s="14"/>
      <c r="H105" s="14"/>
      <c r="I105" s="14"/>
      <c r="J105" s="12"/>
      <c r="K105" s="13"/>
    </row>
    <row r="106" ht="15" customHeight="1">
      <c r="A106" s="14"/>
      <c r="B106" s="14"/>
      <c r="C106" s="14"/>
      <c r="D106" s="14"/>
      <c r="E106" s="14"/>
      <c r="F106" s="14"/>
      <c r="G106" s="14"/>
      <c r="H106" s="14"/>
      <c r="I106" s="14"/>
      <c r="J106" s="12"/>
      <c r="K106" s="13"/>
    </row>
  </sheetData>
  <autoFilter ref="A1:K106"/>
  <printOptions headings="0" gridLines="0" horizontalCentered="0" verticalCentered="0"/>
  <pageMargins left="0.75" right="0.75" top="1" bottom="1"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2" aboveAverage="0" rank="0" text="" id="{008600D2-0093-43CB-9C44-00DF001100EC}">
            <xm:f>$F2="Include"</xm:f>
            <x14:dxf>
              <fill>
                <patternFill patternType="solid">
                  <fgColor rgb="FFD9EAD3"/>
                  <bgColor rgb="FFD9EAD3"/>
                </patternFill>
              </fill>
            </x14:dxf>
          </x14:cfRule>
          <xm:sqref>F2:F106</xm:sqref>
        </x14:conditionalFormatting>
        <x14:conditionalFormatting xmlns:xm="http://schemas.microsoft.com/office/excel/2006/main">
          <x14:cfRule type="expression" priority="3" aboveAverage="0" rank="0" text="" id="{00A30049-0036-4EEC-B71A-00EA005000A6}">
            <xm:f>$F2="Optional"</xm:f>
            <x14:dxf>
              <fill>
                <patternFill patternType="solid">
                  <fgColor rgb="FFFCE5CD"/>
                  <bgColor rgb="FFFCE5CD"/>
                </patternFill>
              </fill>
            </x14:dxf>
          </x14:cfRule>
          <xm:sqref>F2:F106</xm:sqref>
        </x14:conditionalFormatting>
        <x14:conditionalFormatting xmlns:xm="http://schemas.microsoft.com/office/excel/2006/main">
          <x14:cfRule type="expression" priority="4" aboveAverage="0" rank="0" text="" id="{00C90077-00C7-4CDD-9837-004E00E40095}">
            <xm:f>$F2="Alternate"</xm:f>
            <x14:dxf>
              <fill>
                <patternFill patternType="solid">
                  <fgColor rgb="FFE8E8E8"/>
                  <bgColor rgb="FFE8E8E8"/>
                </patternFill>
              </fill>
            </x14:dxf>
          </x14:cfRule>
          <xm:sqref>F2:F106</xm:sqref>
        </x14:conditionalFormatting>
        <x14:conditionalFormatting xmlns:xm="http://schemas.microsoft.com/office/excel/2006/main">
          <x14:cfRule type="expression" priority="5" aboveAverage="0" rank="0" text="" id="{00D100B2-001C-417D-8455-0024002800D4}">
            <xm:f>$F2="Review"</xm:f>
            <x14:dxf>
              <fill>
                <patternFill patternType="solid">
                  <fgColor rgb="FFF4CCCC"/>
                  <bgColor rgb="FFF4CCCC"/>
                </patternFill>
              </fill>
            </x14:dxf>
          </x14:cfRule>
          <xm:sqref>F2:F106</xm:sqref>
        </x14:conditionalFormatting>
      </x14:conditionalFormattings>
    </ext>
    <ext xmlns:x14="http://schemas.microsoft.com/office/spreadsheetml/2009/9/main" uri="{CCE6A557-97BC-4b89-ADB6-D9C93CAAB3DF}">
      <x14:dataValidations xmlns:xm="http://schemas.microsoft.com/office/excel/2006/main" count="3" disablePrompts="0">
        <x14:dataValidation xr:uid="{00B700FC-00E3-4E99-88DD-0025005900D9}" type="list" allowBlank="1" errorStyle="stop" imeMode="noControl" operator="between" showDropDown="0" showErrorMessage="0" showInputMessage="0">
          <x14:formula1>
            <xm:f>Categories!$B$2:$B$9</xm:f>
          </x14:formula1>
          <x14:formula2>
            <xm:f>0</xm:f>
          </x14:formula2>
          <xm:sqref>C2:C106</xm:sqref>
        </x14:dataValidation>
        <x14:dataValidation xr:uid="{003700E0-0045-4526-911C-00A300160085}" type="list" allowBlank="1" errorStyle="stop" imeMode="noControl" operator="between" showDropDown="0" showErrorMessage="0" showInputMessage="0">
          <x14:formula1>
            <xm:f>Lists!$A$2:$A$6</xm:f>
          </x14:formula1>
          <x14:formula2>
            <xm:f>0</xm:f>
          </x14:formula2>
          <xm:sqref>E2:E106</xm:sqref>
        </x14:dataValidation>
        <x14:dataValidation xr:uid="{00C600B9-00E5-46F0-AC71-002A007C00E1}" type="list" allowBlank="1" errorStyle="stop" imeMode="noControl" operator="between" showDropDown="0" showErrorMessage="0" showInputMessage="0">
          <x14:formula1>
            <xm:f>Lists!$B$2:$B$5</xm:f>
          </x14:formula1>
          <x14:formula2>
            <xm:f>0</xm:f>
          </x14:formula2>
          <xm:sqref>F2:F106</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0">
    <tabColor rgb="FF6AA84F"/>
    <outlinePr applyStyles="0" summaryBelow="1" summaryRight="1" showOutlineSymbols="1"/>
    <pageSetUpPr autoPageBreaks="1" fitToPage="0"/>
  </sheetPr>
  <sheetViews>
    <sheetView showFormulas="0" showGridLines="1" showRowColHeaders="1" showZeros="1" rightToLeft="0" view="normal" topLeftCell="A1" zoomScale="100" workbookViewId="0">
      <pane xSplit="2" ySplit="1" topLeftCell="C2" activePane="bottomRight" state="frozen"/>
      <selection activeCell="A1" activeCellId="0" sqref="A1"/>
    </sheetView>
  </sheetViews>
  <sheetFormatPr baseColWidth="8" defaultColWidth="8.6796875" defaultRowHeight="15"/>
  <cols>
    <col customWidth="1" min="1" max="1" style="1" width="8"/>
    <col customWidth="1" min="2" max="2" style="1" width="28"/>
    <col customWidth="1" min="3" max="3" style="1" width="7"/>
    <col customWidth="1" min="4" max="4" style="1" width="70"/>
    <col customWidth="1" min="5" max="5" style="1" width="12"/>
    <col customWidth="1" min="6" max="6" style="1" width="14"/>
    <col customWidth="1" min="7" max="7" style="1" width="12"/>
    <col customWidth="1" min="8" max="8" style="1" width="14"/>
  </cols>
  <sheetData>
    <row r="1" ht="31.5" customHeight="1">
      <c r="A1" s="7" t="s">
        <v>236</v>
      </c>
      <c r="B1" s="7" t="s">
        <v>237</v>
      </c>
      <c r="C1" s="7" t="s">
        <v>238</v>
      </c>
      <c r="D1" s="7" t="s">
        <v>239</v>
      </c>
      <c r="E1" s="7" t="s">
        <v>240</v>
      </c>
      <c r="F1" s="7" t="s">
        <v>241</v>
      </c>
      <c r="G1" s="7" t="s">
        <v>242</v>
      </c>
      <c r="H1" s="7" t="s">
        <v>243</v>
      </c>
    </row>
    <row r="2" ht="23.25" customHeight="1">
      <c r="A2" s="11">
        <v>1</v>
      </c>
      <c r="B2" s="15" t="s">
        <v>39</v>
      </c>
      <c r="C2" s="11" t="s">
        <v>244</v>
      </c>
      <c r="D2" s="10" t="s">
        <v>245</v>
      </c>
      <c r="E2" s="11" t="s">
        <v>246</v>
      </c>
      <c r="F2" s="16">
        <f>COUNTIFS(Stocks!$C$2:$C$106,B2,Stocks!$F$2:$F$106,"Include")</f>
        <v>4</v>
      </c>
      <c r="G2" s="16">
        <f>COUNTIFS(Stocks!$D$2:$D$106,"*"&amp;B2&amp;"*",Stocks!$F$2:$F$106,"Include")</f>
        <v>1</v>
      </c>
      <c r="H2" s="16">
        <f>COUNTIFS(Stocks!$C$2:$C$106,B2,Stocks!$F$2:$F$106,"Optional")+COUNTIFS(Stocks!$C$2:$C$106,B2,Stocks!$F$2:$F$106,"Alternate")</f>
        <v>1</v>
      </c>
    </row>
    <row r="3" ht="15" customHeight="1">
      <c r="A3" s="11">
        <v>2</v>
      </c>
      <c r="B3" s="15" t="s">
        <v>65</v>
      </c>
      <c r="C3" s="11" t="s">
        <v>247</v>
      </c>
      <c r="D3" s="10" t="s">
        <v>248</v>
      </c>
      <c r="E3" s="11" t="s">
        <v>249</v>
      </c>
      <c r="F3" s="16">
        <f>COUNTIFS(Stocks!$C$2:$C$106,B3,Stocks!$F$2:$F$106,"Include")</f>
        <v>5</v>
      </c>
      <c r="G3" s="16">
        <f>COUNTIFS(Stocks!$D$2:$D$106,"*"&amp;B3&amp;"*",Stocks!$F$2:$F$106,"Include")</f>
        <v>0</v>
      </c>
      <c r="H3" s="16">
        <f>COUNTIFS(Stocks!$C$2:$C$106,B3,Stocks!$F$2:$F$106,"Optional")+COUNTIFS(Stocks!$C$2:$C$106,B3,Stocks!$F$2:$F$106,"Alternate")</f>
        <v>0</v>
      </c>
    </row>
    <row r="4" ht="15" customHeight="1">
      <c r="A4" s="11">
        <v>3</v>
      </c>
      <c r="B4" s="15" t="s">
        <v>90</v>
      </c>
      <c r="C4" s="11" t="s">
        <v>250</v>
      </c>
      <c r="D4" s="10" t="s">
        <v>251</v>
      </c>
      <c r="E4" s="11" t="s">
        <v>252</v>
      </c>
      <c r="F4" s="16">
        <f>COUNTIFS(Stocks!$C$2:$C$106,B4,Stocks!$F$2:$F$106,"Include")</f>
        <v>5</v>
      </c>
      <c r="G4" s="16">
        <f>COUNTIFS(Stocks!$D$2:$D$106,"*"&amp;B4&amp;"*",Stocks!$F$2:$F$106,"Include")</f>
        <v>1</v>
      </c>
      <c r="H4" s="16">
        <f>COUNTIFS(Stocks!$C$2:$C$106,B4,Stocks!$F$2:$F$106,"Optional")+COUNTIFS(Stocks!$C$2:$C$106,B4,Stocks!$F$2:$F$106,"Alternate")</f>
        <v>0</v>
      </c>
    </row>
    <row r="5" ht="15" customHeight="1">
      <c r="A5" s="11">
        <v>4</v>
      </c>
      <c r="B5" s="15" t="s">
        <v>112</v>
      </c>
      <c r="C5" s="11" t="s">
        <v>253</v>
      </c>
      <c r="D5" s="10" t="s">
        <v>254</v>
      </c>
      <c r="E5" s="11" t="s">
        <v>255</v>
      </c>
      <c r="F5" s="16">
        <f>COUNTIFS(Stocks!$C$2:$C$106,B5,Stocks!$F$2:$F$106,"Include")</f>
        <v>5</v>
      </c>
      <c r="G5" s="16">
        <f>COUNTIFS(Stocks!$D$2:$D$106,"*"&amp;B5&amp;"*",Stocks!$F$2:$F$106,"Include")</f>
        <v>0</v>
      </c>
      <c r="H5" s="16">
        <f>COUNTIFS(Stocks!$C$2:$C$106,B5,Stocks!$F$2:$F$106,"Optional")+COUNTIFS(Stocks!$C$2:$C$106,B5,Stocks!$F$2:$F$106,"Alternate")</f>
        <v>0</v>
      </c>
    </row>
    <row r="6" ht="15" customHeight="1">
      <c r="A6" s="11">
        <v>5</v>
      </c>
      <c r="B6" s="15" t="s">
        <v>133</v>
      </c>
      <c r="C6" s="11" t="s">
        <v>256</v>
      </c>
      <c r="D6" s="10" t="s">
        <v>257</v>
      </c>
      <c r="E6" s="11" t="s">
        <v>252</v>
      </c>
      <c r="F6" s="16">
        <f>COUNTIFS(Stocks!$C$2:$C$106,B6,Stocks!$F$2:$F$106,"Include")</f>
        <v>6</v>
      </c>
      <c r="G6" s="16">
        <f>COUNTIFS(Stocks!$D$2:$D$106,"*"&amp;B6&amp;"*",Stocks!$F$2:$F$106,"Include")</f>
        <v>0</v>
      </c>
      <c r="H6" s="16">
        <f>COUNTIFS(Stocks!$C$2:$C$106,B6,Stocks!$F$2:$F$106,"Optional")+COUNTIFS(Stocks!$C$2:$C$106,B6,Stocks!$F$2:$F$106,"Alternate")</f>
        <v>0</v>
      </c>
    </row>
    <row r="7" ht="15" customHeight="1">
      <c r="A7" s="11">
        <v>6</v>
      </c>
      <c r="B7" s="15" t="s">
        <v>158</v>
      </c>
      <c r="C7" s="11" t="s">
        <v>258</v>
      </c>
      <c r="D7" s="10" t="s">
        <v>259</v>
      </c>
      <c r="E7" s="11" t="s">
        <v>260</v>
      </c>
      <c r="F7" s="16">
        <f>COUNTIFS(Stocks!$C$2:$C$106,B7,Stocks!$F$2:$F$106,"Include")</f>
        <v>5</v>
      </c>
      <c r="G7" s="16">
        <f>COUNTIFS(Stocks!$D$2:$D$106,"*"&amp;B7&amp;"*",Stocks!$F$2:$F$106,"Include")</f>
        <v>0</v>
      </c>
      <c r="H7" s="16">
        <f>COUNTIFS(Stocks!$C$2:$C$106,B7,Stocks!$F$2:$F$106,"Optional")+COUNTIFS(Stocks!$C$2:$C$106,B7,Stocks!$F$2:$F$106,"Alternate")</f>
        <v>1</v>
      </c>
    </row>
    <row r="8" ht="15" customHeight="1">
      <c r="A8" s="11">
        <v>7</v>
      </c>
      <c r="B8" s="15" t="s">
        <v>185</v>
      </c>
      <c r="C8" s="11" t="s">
        <v>261</v>
      </c>
      <c r="D8" s="10" t="s">
        <v>262</v>
      </c>
      <c r="E8" s="11" t="s">
        <v>263</v>
      </c>
      <c r="F8" s="16">
        <f>COUNTIFS(Stocks!$C$2:$C$106,B8,Stocks!$F$2:$F$106,"Include")</f>
        <v>6</v>
      </c>
      <c r="G8" s="16">
        <f>COUNTIFS(Stocks!$D$2:$D$106,"*"&amp;B8&amp;"*",Stocks!$F$2:$F$106,"Include")</f>
        <v>0</v>
      </c>
      <c r="H8" s="16">
        <f>COUNTIFS(Stocks!$C$2:$C$106,B8,Stocks!$F$2:$F$106,"Optional")+COUNTIFS(Stocks!$C$2:$C$106,B8,Stocks!$F$2:$F$106,"Alternate")</f>
        <v>2</v>
      </c>
    </row>
    <row r="9" ht="15" customHeight="1">
      <c r="A9" s="11">
        <v>8</v>
      </c>
      <c r="B9" s="15" t="s">
        <v>107</v>
      </c>
      <c r="C9" s="11" t="s">
        <v>264</v>
      </c>
      <c r="D9" s="10" t="s">
        <v>265</v>
      </c>
      <c r="E9" s="11" t="s">
        <v>252</v>
      </c>
      <c r="F9" s="16">
        <f>COUNTIFS(Stocks!$C$2:$C$106,B9,Stocks!$F$2:$F$106,"Include")</f>
        <v>5</v>
      </c>
      <c r="G9" s="16">
        <f>COUNTIFS(Stocks!$D$2:$D$106,"*"&amp;B9&amp;"*",Stocks!$F$2:$F$106,"Include")</f>
        <v>2</v>
      </c>
      <c r="H9" s="16">
        <f>COUNTIFS(Stocks!$C$2:$C$106,B9,Stocks!$F$2:$F$106,"Optional")+COUNTIFS(Stocks!$C$2:$C$106,B9,Stocks!$F$2:$F$106,"Alternate")</f>
        <v>0</v>
      </c>
    </row>
    <row r="10" ht="15" customHeight="1">
      <c r="B10" s="17" t="s">
        <v>266</v>
      </c>
      <c r="F10" s="18">
        <f>SUM(F2:F9)</f>
        <v>41</v>
      </c>
      <c r="G10" s="18">
        <f>SUM(G2:G9)</f>
        <v>4</v>
      </c>
      <c r="H10" s="18">
        <f>SUM(H2:H9)</f>
        <v>4</v>
      </c>
    </row>
    <row r="12" ht="15" customHeight="1">
      <c r="B12" s="17" t="s">
        <v>267</v>
      </c>
      <c r="D12" s="19" t="s">
        <v>268</v>
      </c>
    </row>
    <row r="13" ht="15" customHeight="1">
      <c r="B13" s="17" t="s">
        <v>269</v>
      </c>
      <c r="D13" s="20">
        <f>SUMPRODUCT((Stocks!$A$2:$A$106&lt;&gt;"")/COUNTIF(Stocks!$A$2:$A$106,Stocks!$A$2:$A$106&amp;""))</f>
        <v>45</v>
      </c>
    </row>
  </sheetData>
  <printOptions headings="0" gridLines="0" horizontalCentered="0" verticalCentered="0"/>
  <pageMargins left="0.75" right="0.75" top="1" bottom="1"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0">
    <outlinePr applyStyles="0" summaryBelow="1" summaryRight="1" showOutlineSymbols="1"/>
    <pageSetUpPr autoPageBreaks="1" fitToPage="0"/>
  </sheetPr>
  <sheetViews>
    <sheetView showFormulas="0" showGridLines="1" showRowColHeaders="1" showZeros="1" rightToLeft="0" view="normal" topLeftCell="A1" zoomScale="100" workbookViewId="0">
      <selection activeCell="A1" activeCellId="0" sqref="A1"/>
    </sheetView>
  </sheetViews>
  <sheetFormatPr baseColWidth="8" defaultColWidth="8.6796875" defaultRowHeight="15"/>
  <cols>
    <col customWidth="1" min="1" max="1" style="1" width="18"/>
    <col customWidth="1" min="2" max="2" style="1" width="14"/>
  </cols>
  <sheetData>
    <row r="1" ht="15" customHeight="1">
      <c r="A1" s="17" t="s">
        <v>270</v>
      </c>
      <c r="B1" s="17" t="s">
        <v>31</v>
      </c>
    </row>
    <row r="2" ht="15" customHeight="1">
      <c r="A2" s="19" t="s">
        <v>66</v>
      </c>
      <c r="B2" s="19" t="s">
        <v>41</v>
      </c>
    </row>
    <row r="3" ht="15" customHeight="1">
      <c r="A3" s="19" t="s">
        <v>40</v>
      </c>
      <c r="B3" s="19" t="s">
        <v>59</v>
      </c>
    </row>
    <row r="4" ht="15" customHeight="1">
      <c r="A4" s="19" t="s">
        <v>75</v>
      </c>
      <c r="B4" s="19" t="s">
        <v>180</v>
      </c>
    </row>
    <row r="5" ht="15" customHeight="1">
      <c r="A5" s="19" t="s">
        <v>80</v>
      </c>
      <c r="B5" s="19" t="s">
        <v>271</v>
      </c>
    </row>
    <row r="6" ht="15" customHeight="1">
      <c r="A6" s="19" t="s">
        <v>85</v>
      </c>
    </row>
  </sheetData>
  <printOptions headings="0" gridLines="0" horizontalCentered="0" verticalCentered="0"/>
  <pageMargins left="0.75" right="0.75" top="1" bottom="1"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docProps/app.xml><?xml version="1.0" encoding="utf-8"?>
<Properties xmlns="http://schemas.openxmlformats.org/officeDocument/2006/extended-properties" xmlns:vt="http://schemas.openxmlformats.org/officeDocument/2006/docPropsVTypes">
  <Application>ONLYOFFICE/9.3.1.8</Application>
  <HeadingPairs>
    <vt:vector size="0" baseType="variant"/>
  </HeadingPairs>
  <TitlesOfParts>
    <vt:vector size="0" baseType="lpst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language>en-US</dc:language>
  <cp:revision>1</cp:revision>
  <dcterms:created xsi:type="dcterms:W3CDTF">2026-10-29T22:50:24Z</dcterms:created>
  <dcterms:modified xsi:type="dcterms:W3CDTF">2026-10-30T01:08:37Z</dcterms:modified>
</cp:coreProperties>
</file>