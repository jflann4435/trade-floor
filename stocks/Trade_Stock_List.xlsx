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Read Me" sheetId="1" state="visible" r:id="rId1"/>
    <sheet xmlns:r="http://schemas.openxmlformats.org/officeDocument/2006/relationships" name="Stocks" sheetId="2" state="visible" r:id="rId2"/>
    <sheet xmlns:r="http://schemas.openxmlformats.org/officeDocument/2006/relationships" name="Categories" sheetId="3" state="visible" r:id="rId3"/>
    <sheet xmlns:r="http://schemas.openxmlformats.org/officeDocument/2006/relationships" name="Lists" sheetId="4" state="hidden" r:id="rId4"/>
  </sheets>
  <definedNames>
    <definedName name="_xlnm._FilterDatabase" localSheetId="1" hidden="1">'Stocks'!$A$1:$K$106</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0"/>
    <numFmt numFmtId="165" formatCode="mmm d, yyyy"/>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sz val="10"/>
    </font>
    <font>
      <name val="Arial"/>
      <charset val="1"/>
      <family val="0"/>
      <b val="1"/>
      <sz val="12"/>
    </font>
    <font>
      <name val="Arial"/>
      <charset val="1"/>
      <family val="0"/>
      <b val="1"/>
      <color rgb="FFFFFFFF"/>
      <sz val="11"/>
    </font>
    <font>
      <name val="Arial"/>
      <charset val="1"/>
      <family val="0"/>
      <b val="1"/>
      <sz val="10"/>
    </font>
    <font>
      <name val="Arial"/>
      <family val="2"/>
      <sz val="10"/>
    </font>
    <font>
      <name val="Arial"/>
      <charset val="1"/>
      <family val="0"/>
      <b val="1"/>
      <sz val="11"/>
    </font>
    <font>
      <name val="Arial"/>
      <b val="1"/>
      <color rgb="00FFFFFF"/>
    </font>
    <font>
      <name val="Arial"/>
      <sz val="10"/>
    </font>
    <font>
      <name val="Arial"/>
      <b val="1"/>
      <sz val="12"/>
    </font>
  </fonts>
  <fills count="6">
    <fill>
      <patternFill/>
    </fill>
    <fill>
      <patternFill patternType="gray125"/>
    </fill>
    <fill>
      <patternFill patternType="solid">
        <fgColor rgb="FF1F3864"/>
        <bgColor rgb="FF333333"/>
      </patternFill>
    </fill>
    <fill>
      <patternFill patternType="solid">
        <fgColor rgb="FFFFF9E5"/>
        <bgColor rgb="FFFFFFFF"/>
      </patternFill>
    </fill>
    <fill>
      <patternFill patternType="solid">
        <fgColor rgb="001F3864"/>
      </patternFill>
    </fill>
    <fill>
      <patternFill patternType="solid">
        <fgColor rgb="00FFF9E5"/>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00D0D0D0"/>
      </left>
      <right style="thin">
        <color rgb="00D0D0D0"/>
      </right>
      <top style="thin">
        <color rgb="00D0D0D0"/>
      </top>
      <bottom style="thin">
        <color rgb="00D0D0D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center" vertical="top" wrapText="1"/>
    </xf>
    <xf numFmtId="0" fontId="5" fillId="3" borderId="1" applyAlignment="1" pivotButton="0" quotePrefix="0" xfId="0">
      <alignment horizontal="left" vertical="top" wrapText="1"/>
    </xf>
    <xf numFmtId="0" fontId="5" fillId="3" borderId="1" applyAlignment="1" pivotButton="0" quotePrefix="0" xfId="0">
      <alignment horizontal="center" vertical="top" wrapText="1"/>
    </xf>
    <xf numFmtId="0" fontId="5" fillId="3" borderId="1" applyAlignment="1" pivotButton="0" quotePrefix="0" xfId="0">
      <alignment horizontal="general" vertical="top" wrapText="1"/>
    </xf>
    <xf numFmtId="0" fontId="8" fillId="3" borderId="1" applyAlignment="1" pivotButton="0" quotePrefix="0" xfId="0">
      <alignment horizontal="left" vertical="top" wrapText="1"/>
    </xf>
    <xf numFmtId="0" fontId="5" fillId="0" borderId="1" applyAlignment="1" pivotButton="0" quotePrefix="0" xfId="0">
      <alignment horizontal="center" vertical="top" wrapText="1"/>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5" fillId="0" borderId="0" applyAlignment="1" pivotButton="0" quotePrefix="0" xfId="0">
      <alignment horizontal="general" vertical="bottom"/>
    </xf>
    <xf numFmtId="0" fontId="5" fillId="0" borderId="0" applyAlignment="1" pivotButton="0" quotePrefix="0" xfId="0">
      <alignment horizontal="left"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3" fillId="0" borderId="0" pivotButton="0" quotePrefix="0" xfId="0"/>
    <xf numFmtId="0" fontId="12" fillId="0" borderId="0" applyAlignment="1" pivotButton="0" quotePrefix="0" xfId="0">
      <alignment vertical="top" wrapText="1"/>
    </xf>
    <xf numFmtId="0" fontId="7" fillId="2" borderId="1" applyAlignment="1" pivotButton="0" quotePrefix="0" xfId="0">
      <alignment horizontal="center" vertical="center" wrapText="1"/>
    </xf>
    <xf numFmtId="0" fontId="11" fillId="4" borderId="2" applyAlignment="1" pivotButton="0" quotePrefix="0" xfId="0">
      <alignment horizontal="center" vertical="center" wrapText="1"/>
    </xf>
    <xf numFmtId="0" fontId="8" fillId="3" borderId="1" applyAlignment="1" pivotButton="0" quotePrefix="0" xfId="0">
      <alignment horizontal="center" vertical="top" wrapText="1"/>
    </xf>
    <xf numFmtId="0" fontId="5" fillId="3" borderId="1" applyAlignment="1" pivotButton="0" quotePrefix="0" xfId="0">
      <alignment horizontal="left" vertical="top" wrapText="1"/>
    </xf>
    <xf numFmtId="0" fontId="5" fillId="3" borderId="1" applyAlignment="1" pivotButton="0" quotePrefix="0" xfId="0">
      <alignment horizontal="center" vertical="top" wrapText="1"/>
    </xf>
    <xf numFmtId="164" fontId="12" fillId="5" borderId="2" applyAlignment="1" pivotButton="0" quotePrefix="0" xfId="0">
      <alignment horizontal="center" vertical="top"/>
    </xf>
    <xf numFmtId="165" fontId="12" fillId="5" borderId="2" applyAlignment="1" pivotButton="0" quotePrefix="0" xfId="0">
      <alignment horizontal="center" vertical="top"/>
    </xf>
    <xf numFmtId="0" fontId="5" fillId="3" borderId="1" applyAlignment="1" pivotButton="0" quotePrefix="0" xfId="0">
      <alignment horizontal="general" vertical="top" wrapText="1"/>
    </xf>
    <xf numFmtId="0" fontId="8" fillId="3" borderId="1" applyAlignment="1" pivotButton="0" quotePrefix="0" xfId="0">
      <alignment horizontal="left" vertical="top" wrapText="1"/>
    </xf>
    <xf numFmtId="0" fontId="5" fillId="0" borderId="1" applyAlignment="1" pivotButton="0" quotePrefix="0" xfId="0">
      <alignment horizontal="center" vertical="top" wrapText="1"/>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5" fillId="0" borderId="0" applyAlignment="1" pivotButton="0" quotePrefix="0" xfId="0">
      <alignment horizontal="general" vertical="bottom"/>
    </xf>
    <xf numFmtId="0" fontId="5" fillId="0" borderId="0" applyAlignment="1" pivotButton="0" quotePrefix="0" xfId="0">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864"/>
          <bgColor rgb="FF000000"/>
        </patternFill>
      </fill>
    </dxf>
    <dxf>
      <fill>
        <patternFill patternType="solid">
          <fgColor rgb="FFFFF9E5"/>
          <bgColor rgb="FF000000"/>
        </patternFill>
      </fill>
    </dxf>
    <dxf>
      <fill>
        <patternFill patternType="solid">
          <fgColor rgb="FFFFFFFF"/>
          <bgColor rgb="FF000000"/>
        </patternFill>
      </fill>
    </dxf>
    <dxf>
      <fill>
        <patternFill patternType="solid">
          <bgColor rgb="FF000000"/>
        </patternFill>
      </fill>
    </dxf>
    <dxf>
      <fill>
        <patternFill patternType="solid">
          <fgColor rgb="FFD9EAD3"/>
          <bgColor rgb="FF000000"/>
        </patternFill>
      </fill>
    </dxf>
    <dxf>
      <fill>
        <patternFill patternType="solid">
          <fgColor rgb="FFE8E8E8"/>
          <bgColor rgb="FF000000"/>
        </patternFill>
      </fill>
    </dxf>
    <dxf>
      <fill>
        <patternFill patternType="solid">
          <fgColor rgb="FFFCE5CD"/>
          <bgColor rgb="FF000000"/>
        </patternFill>
      </fill>
    </dxf>
    <dxf>
      <fill>
        <patternFill>
          <bgColor rgb="FFD9EAD3"/>
        </patternFill>
      </fill>
    </dxf>
    <dxf>
      <fill>
        <patternFill>
          <bgColor rgb="FFFCE5CD"/>
        </patternFill>
      </fill>
    </dxf>
    <dxf>
      <fill>
        <patternFill>
          <bgColor rgb="FFE8E8E8"/>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E5"/>
      <rgbColor rgb="FFE8E8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C9A227"/>
      <rgbColor rgb="FFFF6600"/>
      <rgbColor rgb="FF666699"/>
      <rgbColor rgb="FF969696"/>
      <rgbColor rgb="FF1F3864"/>
      <rgbColor rgb="FF6AA84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Claude</author>
  </authors>
  <commentList>
    <comment ref="D1" authorId="0" shapeId="0">
      <text>
        <t>Other trade buttons this stock should also appear on. Use exact category names; separate with ';'.</t>
      </text>
    </comment>
    <comment ref="H1" authorId="0" shapeId="0">
      <text>
        <t>A question or prompt shown on the stock's card to get students digging.</t>
      </text>
    </comment>
    <comment ref="J1" authorId="1" shapeId="0">
      <text>
        <t>Analysts' average 1-year price target, copied from Yahoo Finance (Summary tab, '1y Target Est'). Free data feeds don't include it, so the site uses whatever you type here. Leave blank to show 'Not entered'.</t>
      </text>
    </comment>
    <comment ref="K1" authorId="1" shapeId="0">
      <text>
        <t>The date you copied the target. The site shows it so students know how fresh it is.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1F3864"/>
    <outlinePr summaryBelow="1" summaryRight="1"/>
    <pageSetUpPr fitToPage="0"/>
  </sheetPr>
  <dimension ref="A1:A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6" min="1" max="1"/>
  </cols>
  <sheetData>
    <row r="1" ht="19.5" customHeight="1" s="17">
      <c r="A1" s="18" t="inlineStr">
        <is>
          <t>Trade Stock List — Read Me</t>
        </is>
      </c>
    </row>
    <row r="2" ht="23.25" customHeight="1" s="17">
      <c r="A2" s="19" t="inlineStr">
        <is>
          <t>This workbook is the master list for the class stock website. Each trade button on the site will show the rows from the Stocks tab whose Status is 'Include'.</t>
        </is>
      </c>
    </row>
    <row r="3" ht="15" customHeight="1" s="17">
      <c r="A3" s="19" t="n"/>
    </row>
    <row r="4" ht="15" customHeight="1" s="17">
      <c r="A4" s="20" t="inlineStr">
        <is>
          <t>What to edit</t>
        </is>
      </c>
    </row>
    <row r="5" ht="15" customHeight="1" s="17">
      <c r="A5" s="19" t="inlineStr">
        <is>
          <t>• Stocks tab: every column is editable. Light-yellow cells are yours. Use the dropdowns for Category, Role and Status.</t>
        </is>
      </c>
    </row>
    <row r="6" ht="15" customHeight="1" s="17">
      <c r="A6" s="19" t="inlineStr">
        <is>
          <t>• Categories tab: edit the button label, icon, description, button order and benchmark ETF. The count columns are formulas — leave them alone.</t>
        </is>
      </c>
    </row>
    <row r="7" ht="15" customHeight="1" s="17">
      <c r="A7" s="19" t="inlineStr">
        <is>
          <t>• To add a stock: add a new row at the bottom of the Stocks table (ticker, company, category, role, status, what they do, student hook).</t>
        </is>
      </c>
    </row>
    <row r="8" ht="23.25" customHeight="1" s="17">
      <c r="A8" s="19" t="inlineStr">
        <is>
          <t>• Example of a complete row: AXON | Axon Enterprise | Law Enforcement | (blank) | Tools/Supplies | Include | Tasers, body cameras… | Body cams went from rare to standard…</t>
        </is>
      </c>
    </row>
    <row r="9" ht="15" customHeight="1" s="17">
      <c r="A9" s="19" t="n"/>
    </row>
    <row r="10" ht="15" customHeight="1" s="17">
      <c r="A10" s="20" t="inlineStr">
        <is>
          <t>Status meanings</t>
        </is>
      </c>
    </row>
    <row r="11" ht="15" customHeight="1" s="17">
      <c r="A11" s="19" t="inlineStr">
        <is>
          <t>• Include — shows on the website.</t>
        </is>
      </c>
    </row>
    <row r="12" ht="15" customHeight="1" s="17">
      <c r="A12" s="19" t="inlineStr">
        <is>
          <t>• Optional — ready to go, but needs your (or admin's) decision first.</t>
        </is>
      </c>
    </row>
    <row r="13" ht="15" customHeight="1" s="17">
      <c r="A13" s="19" t="inlineStr">
        <is>
          <t>• Alternate — a good swap-in if a list feels stale or a company changes.</t>
        </is>
      </c>
    </row>
    <row r="14" ht="15" customHeight="1" s="17">
      <c r="A14" s="19" t="inlineStr">
        <is>
          <t>• Review — something changed (merger, ticker change, delisting); check before using.</t>
        </is>
      </c>
    </row>
    <row r="15" ht="15" customHeight="1" s="17">
      <c r="A15" s="19" t="n"/>
    </row>
    <row r="16" ht="15" customHeight="1" s="17">
      <c r="A16" s="20" t="inlineStr">
        <is>
          <t>Role meanings (each list aims for one of each)</t>
        </is>
      </c>
    </row>
    <row r="17" ht="15" customHeight="1" s="17">
      <c r="A17" s="19" t="inlineStr">
        <is>
          <t>• Giant — the big, familiar name.   • Tools/Supplies — makes what's in your shop.   • Distributor — where pros buy.</t>
        </is>
      </c>
    </row>
    <row r="18" ht="15" customHeight="1" s="17">
      <c r="A18" s="19" t="inlineStr">
        <is>
          <t>• Employer — a company that might hire you.   • Wildcard — smaller or more volatile; more fun to watch.</t>
        </is>
      </c>
    </row>
    <row r="19" ht="15" customHeight="1" s="17">
      <c r="A19" s="19" t="n"/>
    </row>
    <row r="20" ht="15" customHeight="1" s="17">
      <c r="A20" s="20" t="inlineStr">
        <is>
          <t>'Also In' column</t>
        </is>
      </c>
    </row>
    <row r="21" ht="23.25" customHeight="1" s="17">
      <c r="A21" s="19" t="inlineStr">
        <is>
          <t>A stock listed under one primary Category can also appear on other trade buttons with an 'also in' badge. Separate multiple trades with a semicolon, using the exact category names.</t>
        </is>
      </c>
    </row>
    <row r="22" ht="15" customHeight="1" s="17">
      <c r="A22" s="19" t="n"/>
    </row>
    <row r="23" ht="15" customHeight="1" s="17">
      <c r="A23" s="20" t="inlineStr">
        <is>
          <t>Benchmarks</t>
        </is>
      </c>
    </row>
    <row r="24" ht="15" customHeight="1" s="17">
      <c r="A24" s="19" t="inlineStr">
        <is>
          <t>Every page will show SPY (S&amp;P 500) for comparison, plus the sector ETF listed on the Categories tab.</t>
        </is>
      </c>
    </row>
    <row r="25" ht="15" customHeight="1" s="17">
      <c r="A25" s="19" t="n"/>
    </row>
    <row r="26" ht="15" customHeight="1" s="17">
      <c r="A26" s="20" t="inlineStr">
        <is>
          <t>Notes</t>
        </is>
      </c>
    </row>
    <row r="27" ht="23.25" customHeight="1" s="17">
      <c r="A27" s="19" t="inlineStr">
        <is>
          <t>• Axalta (AXTA, auto refinish paint) was left off on purpose: its merger with AkzoNobel is expected to close in early 2027, which would retire the ticker. PPG fills that slot.</t>
        </is>
      </c>
    </row>
    <row r="28" ht="15" customHeight="1" s="17">
      <c r="A28" s="19" t="inlineStr">
        <is>
          <t>• Kenvue was also avoided because of its pending acquisition. Re-check the list each semester for mergers and ticker changes.</t>
        </is>
      </c>
    </row>
    <row r="29" ht="15" customHeight="1" s="17">
      <c r="A29" s="19" t="inlineStr">
        <is>
          <t>• This list is for education, not investment advice.</t>
        </is>
      </c>
    </row>
    <row r="30" ht="15" customHeight="1" s="17">
      <c r="A30" s="19" t="inlineStr">
        <is>
          <t>• List built Oct 29, 2026.</t>
        </is>
      </c>
    </row>
    <row r="32">
      <c r="A32" s="21" t="inlineStr">
        <is>
          <t>1y Target Est (columns J–K on Stocks)</t>
        </is>
      </c>
    </row>
    <row r="33">
      <c r="A33" s="22" t="inlineStr">
        <is>
          <t>Free data sources don't provide analyst price targets. Copy them from Yahoo Finance into column J (and the date into K) whenever you like; the nightly update picks them up. Blank cells show as 'Not entered' on the site.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C9A227"/>
    <outlinePr summaryBelow="1" summaryRight="1"/>
    <pageSetUpPr fitToPage="0"/>
  </sheetPr>
  <dimension ref="A1:K106"/>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6" min="1" max="1"/>
    <col width="26" customWidth="1" style="16" min="2" max="3"/>
    <col width="18" customWidth="1" style="16" min="4" max="4"/>
    <col width="15" customWidth="1" style="16" min="5" max="5"/>
    <col width="11" customWidth="1" style="16" min="6" max="6"/>
    <col width="52" customWidth="1" style="16" min="7" max="7"/>
    <col width="58" customWidth="1" style="16" min="8" max="8"/>
    <col width="30" customWidth="1" style="16" min="9" max="9"/>
    <col width="13" customWidth="1" style="17" min="10" max="10"/>
    <col width="13" customWidth="1" style="17" min="11" max="11"/>
  </cols>
  <sheetData>
    <row r="1" ht="21.75" customHeight="1" s="17">
      <c r="A1" s="23" t="inlineStr">
        <is>
          <t>Ticker</t>
        </is>
      </c>
      <c r="B1" s="23" t="inlineStr">
        <is>
          <t>Company</t>
        </is>
      </c>
      <c r="C1" s="23" t="inlineStr">
        <is>
          <t>Category</t>
        </is>
      </c>
      <c r="D1" s="23" t="inlineStr">
        <is>
          <t>Also In</t>
        </is>
      </c>
      <c r="E1" s="23" t="inlineStr">
        <is>
          <t>Role</t>
        </is>
      </c>
      <c r="F1" s="23" t="inlineStr">
        <is>
          <t>Status</t>
        </is>
      </c>
      <c r="G1" s="23" t="inlineStr">
        <is>
          <t>What They Do</t>
        </is>
      </c>
      <c r="H1" s="23" t="inlineStr">
        <is>
          <t>Student Hook</t>
        </is>
      </c>
      <c r="I1" s="23" t="inlineStr">
        <is>
          <t>Teacher Notes</t>
        </is>
      </c>
      <c r="J1" s="24" t="inlineStr">
        <is>
          <t>1y Target Est</t>
        </is>
      </c>
      <c r="K1" s="24" t="inlineStr">
        <is>
          <t>Target As Of</t>
        </is>
      </c>
    </row>
    <row r="2" ht="23.25" customHeight="1" s="17">
      <c r="A2" s="25" t="inlineStr">
        <is>
          <t>AXON</t>
        </is>
      </c>
      <c r="B2" s="26" t="inlineStr">
        <is>
          <t>Axon Enterprise</t>
        </is>
      </c>
      <c r="C2" s="26" t="inlineStr">
        <is>
          <t>Law Enforcement</t>
        </is>
      </c>
      <c r="D2" s="26" t="n"/>
      <c r="E2" s="27" t="inlineStr">
        <is>
          <t>Tools/Supplies</t>
        </is>
      </c>
      <c r="F2" s="27" t="inlineStr">
        <is>
          <t>Include</t>
        </is>
      </c>
      <c r="G2" s="26" t="inlineStr">
        <is>
          <t>Tasers, body cameras and Evidence.com digital-evidence software.</t>
        </is>
      </c>
      <c r="H2" s="26" t="inlineStr">
        <is>
          <t>Body cams went from rare to standard. How did that show up in Axon's revenue and stock?</t>
        </is>
      </c>
      <c r="I2" s="26" t="n"/>
      <c r="J2" s="28" t="n"/>
      <c r="K2" s="29" t="n"/>
    </row>
    <row r="3" ht="23.25" customHeight="1" s="17">
      <c r="A3" s="25" t="inlineStr">
        <is>
          <t>MSI</t>
        </is>
      </c>
      <c r="B3" s="26" t="inlineStr">
        <is>
          <t>Motorola Solutions</t>
        </is>
      </c>
      <c r="C3" s="26" t="inlineStr">
        <is>
          <t>Law Enforcement</t>
        </is>
      </c>
      <c r="D3" s="26" t="n"/>
      <c r="E3" s="27" t="inlineStr">
        <is>
          <t>Tools/Supplies</t>
        </is>
      </c>
      <c r="F3" s="27" t="inlineStr">
        <is>
          <t>Include</t>
        </is>
      </c>
      <c r="G3" s="26" t="inlineStr">
        <is>
          <t>Police and fire radios, 911 dispatch and command-center software.</t>
        </is>
      </c>
      <c r="H3" s="26" t="inlineStr">
        <is>
          <t>Who pays for the radio on every officer's belt, and how often does it get replaced?</t>
        </is>
      </c>
      <c r="I3" s="26" t="n"/>
      <c r="J3" s="28" t="n"/>
      <c r="K3" s="29" t="n"/>
    </row>
    <row r="4" ht="23.25" customHeight="1" s="17">
      <c r="A4" s="25" t="inlineStr">
        <is>
          <t>FSS</t>
        </is>
      </c>
      <c r="B4" s="26" t="inlineStr">
        <is>
          <t>Federal Signal</t>
        </is>
      </c>
      <c r="C4" s="26" t="inlineStr">
        <is>
          <t>Law Enforcement</t>
        </is>
      </c>
      <c r="D4" s="26" t="n"/>
      <c r="E4" s="27" t="inlineStr">
        <is>
          <t>Tools/Supplies</t>
        </is>
      </c>
      <c r="F4" s="27" t="inlineStr">
        <is>
          <t>Include</t>
        </is>
      </c>
      <c r="G4" s="26" t="inlineStr">
        <is>
          <t>Emergency light bars and sirens; also street sweepers and vacuum trucks.</t>
        </is>
      </c>
      <c r="H4" s="26" t="inlineStr">
        <is>
          <t>A smaller company that's on almost every cruiser. Do smaller stocks move more day to day?</t>
        </is>
      </c>
      <c r="I4" s="26" t="n"/>
      <c r="J4" s="28" t="n"/>
      <c r="K4" s="29" t="n"/>
    </row>
    <row r="5" ht="23.25" customHeight="1" s="17">
      <c r="A5" s="25" t="inlineStr">
        <is>
          <t>SWBI</t>
        </is>
      </c>
      <c r="B5" s="26" t="inlineStr">
        <is>
          <t>Smith &amp; Wesson Brands</t>
        </is>
      </c>
      <c r="C5" s="26" t="inlineStr">
        <is>
          <t>Law Enforcement</t>
        </is>
      </c>
      <c r="D5" s="26" t="n"/>
      <c r="E5" s="27" t="inlineStr">
        <is>
          <t>Tools/Supplies</t>
        </is>
      </c>
      <c r="F5" s="27" t="inlineStr">
        <is>
          <t>Include</t>
        </is>
      </c>
      <c r="G5" s="26" t="inlineStr">
        <is>
          <t>Handguns and rifles for law enforcement and civilian buyers.</t>
        </is>
      </c>
      <c r="H5" s="26" t="inlineStr">
        <is>
          <t>Watch how this stock reacts to news headlines and elections.</t>
        </is>
      </c>
      <c r="I5" s="26" t="inlineStr">
        <is>
          <t>Included per teacher decision (Oct 29, 2026).</t>
        </is>
      </c>
      <c r="J5" s="28" t="n"/>
      <c r="K5" s="29" t="n"/>
    </row>
    <row r="6" ht="23.25" customHeight="1" s="17">
      <c r="A6" s="25" t="inlineStr">
        <is>
          <t>RGR</t>
        </is>
      </c>
      <c r="B6" s="26" t="inlineStr">
        <is>
          <t>Sturm, Ruger &amp; Co.</t>
        </is>
      </c>
      <c r="C6" s="26" t="inlineStr">
        <is>
          <t>Law Enforcement</t>
        </is>
      </c>
      <c r="D6" s="26" t="n"/>
      <c r="E6" s="27" t="inlineStr">
        <is>
          <t>Tools/Supplies</t>
        </is>
      </c>
      <c r="F6" s="27" t="inlineStr">
        <is>
          <t>Optional</t>
        </is>
      </c>
      <c r="G6" s="26" t="inlineStr">
        <is>
          <t>Firearms maker (Ruger, Marlin).</t>
        </is>
      </c>
      <c r="H6" s="26" t="inlineStr">
        <is>
          <t>Compare RGR and SWBI: same industry, same reactions?</t>
        </is>
      </c>
      <c r="I6" s="26" t="inlineStr">
        <is>
          <t>Not included; SWBI chosen as the one firearms stock.</t>
        </is>
      </c>
      <c r="J6" s="28" t="n"/>
      <c r="K6" s="29" t="n"/>
    </row>
    <row r="7" ht="23.25" customHeight="1" s="17">
      <c r="A7" s="25" t="inlineStr">
        <is>
          <t>PG</t>
        </is>
      </c>
      <c r="B7" s="26" t="inlineStr">
        <is>
          <t>Procter &amp; Gamble</t>
        </is>
      </c>
      <c r="C7" s="26" t="inlineStr">
        <is>
          <t>Cosmetology</t>
        </is>
      </c>
      <c r="D7" s="26" t="n"/>
      <c r="E7" s="27" t="inlineStr">
        <is>
          <t>Giant</t>
        </is>
      </c>
      <c r="F7" s="27" t="inlineStr">
        <is>
          <t>Include</t>
        </is>
      </c>
      <c r="G7" s="26" t="inlineStr">
        <is>
          <t>Pantene, Head &amp; Shoulders, Olay and many household brands; a classic steady dividend stock.</t>
        </is>
      </c>
      <c r="H7" s="26" t="inlineStr">
        <is>
          <t>Compare PG's daily moves to e.l.f.'s. Why is one so much calmer?</t>
        </is>
      </c>
      <c r="I7" s="26" t="n"/>
      <c r="J7" s="28" t="n"/>
      <c r="K7" s="29" t="n"/>
    </row>
    <row r="8" ht="15" customHeight="1" s="17">
      <c r="A8" s="25" t="inlineStr">
        <is>
          <t>EL</t>
        </is>
      </c>
      <c r="B8" s="26" t="inlineStr">
        <is>
          <t>Estée Lauder</t>
        </is>
      </c>
      <c r="C8" s="26" t="inlineStr">
        <is>
          <t>Cosmetology</t>
        </is>
      </c>
      <c r="D8" s="26" t="n"/>
      <c r="E8" s="27" t="inlineStr">
        <is>
          <t>Tools/Supplies</t>
        </is>
      </c>
      <c r="F8" s="27" t="inlineStr">
        <is>
          <t>Include</t>
        </is>
      </c>
      <c r="G8" s="26" t="inlineStr">
        <is>
          <t>MAC, Clinique, Aveda; Aveda also runs cosmetology schools.</t>
        </is>
      </c>
      <c r="H8" s="26" t="inlineStr">
        <is>
          <t>Pull up EL's 5-year chart. What story does it tell?</t>
        </is>
      </c>
      <c r="I8" s="26" t="n"/>
      <c r="J8" s="28" t="n"/>
      <c r="K8" s="29" t="n"/>
    </row>
    <row r="9" ht="23.25" customHeight="1" s="17">
      <c r="A9" s="25" t="inlineStr">
        <is>
          <t>SBH</t>
        </is>
      </c>
      <c r="B9" s="26" t="inlineStr">
        <is>
          <t>Sally Beauty Holdings</t>
        </is>
      </c>
      <c r="C9" s="26" t="inlineStr">
        <is>
          <t>Cosmetology</t>
        </is>
      </c>
      <c r="D9" s="26" t="n"/>
      <c r="E9" s="27" t="inlineStr">
        <is>
          <t>Distributor</t>
        </is>
      </c>
      <c r="F9" s="27" t="inlineStr">
        <is>
          <t>Include</t>
        </is>
      </c>
      <c r="G9" s="26" t="inlineStr">
        <is>
          <t>Sally Beauty stores plus CosmoProf, the supplier for licensed professionals.</t>
        </is>
      </c>
      <c r="H9" s="26" t="inlineStr">
        <is>
          <t>Once you're licensed, where will you buy your supplies?</t>
        </is>
      </c>
      <c r="I9" s="26" t="n"/>
      <c r="J9" s="28" t="n"/>
      <c r="K9" s="29" t="n"/>
    </row>
    <row r="10" ht="15" customHeight="1" s="17">
      <c r="A10" s="25" t="inlineStr">
        <is>
          <t>ULTA</t>
        </is>
      </c>
      <c r="B10" s="26" t="inlineStr">
        <is>
          <t>Ulta Beauty</t>
        </is>
      </c>
      <c r="C10" s="26" t="inlineStr">
        <is>
          <t>Cosmetology</t>
        </is>
      </c>
      <c r="D10" s="26" t="n"/>
      <c r="E10" s="27" t="inlineStr">
        <is>
          <t>Employer</t>
        </is>
      </c>
      <c r="F10" s="27" t="inlineStr">
        <is>
          <t>Include</t>
        </is>
      </c>
      <c r="G10" s="26" t="inlineStr">
        <is>
          <t>Beauty retailer with in-store salons that hire licensed stylists.</t>
        </is>
      </c>
      <c r="H10" s="26" t="inlineStr">
        <is>
          <t>Retail plus salon services: which part of the business matters more?</t>
        </is>
      </c>
      <c r="I10" s="26" t="n"/>
      <c r="J10" s="28" t="n"/>
      <c r="K10" s="29" t="n"/>
    </row>
    <row r="11" ht="23.25" customHeight="1" s="17">
      <c r="A11" s="25" t="inlineStr">
        <is>
          <t>ELF</t>
        </is>
      </c>
      <c r="B11" s="26" t="inlineStr">
        <is>
          <t>e.l.f. Beauty</t>
        </is>
      </c>
      <c r="C11" s="26" t="inlineStr">
        <is>
          <t>Cosmetology</t>
        </is>
      </c>
      <c r="D11" s="26" t="n"/>
      <c r="E11" s="27" t="inlineStr">
        <is>
          <t>Wildcard</t>
        </is>
      </c>
      <c r="F11" s="27" t="inlineStr">
        <is>
          <t>Include</t>
        </is>
      </c>
      <c r="G11" s="26" t="inlineStr">
        <is>
          <t>Low-price cosmetics popular with teens; a volatile, fast-moving stock.</t>
        </is>
      </c>
      <c r="H11" s="26" t="inlineStr">
        <is>
          <t>Can a social-media trend show up in a stock price?</t>
        </is>
      </c>
      <c r="I11" s="26" t="n"/>
      <c r="J11" s="28" t="n"/>
      <c r="K11" s="29" t="n"/>
    </row>
    <row r="12" ht="23.25" customHeight="1" s="17">
      <c r="A12" s="25" t="inlineStr">
        <is>
          <t>CARR</t>
        </is>
      </c>
      <c r="B12" s="26" t="inlineStr">
        <is>
          <t>Carrier Global</t>
        </is>
      </c>
      <c r="C12" s="26" t="inlineStr">
        <is>
          <t>HVAC</t>
        </is>
      </c>
      <c r="D12" s="26" t="n"/>
      <c r="E12" s="27" t="inlineStr">
        <is>
          <t>Giant</t>
        </is>
      </c>
      <c r="F12" s="27" t="inlineStr">
        <is>
          <t>Include</t>
        </is>
      </c>
      <c r="G12" s="26" t="inlineStr">
        <is>
          <t>Residential and commercial heating and cooling; Willis Carrier invented modern air conditioning.</t>
        </is>
      </c>
      <c r="H12" s="26" t="inlineStr">
        <is>
          <t>AC was invented in 1902. Is this company still growing?</t>
        </is>
      </c>
      <c r="I12" s="26" t="n"/>
      <c r="J12" s="28" t="n"/>
      <c r="K12" s="29" t="n"/>
    </row>
    <row r="13" ht="15" customHeight="1" s="17">
      <c r="A13" s="25" t="inlineStr">
        <is>
          <t>TT</t>
        </is>
      </c>
      <c r="B13" s="26" t="inlineStr">
        <is>
          <t>Trane Technologies</t>
        </is>
      </c>
      <c r="C13" s="26" t="inlineStr">
        <is>
          <t>HVAC</t>
        </is>
      </c>
      <c r="D13" s="26" t="n"/>
      <c r="E13" s="27" t="inlineStr">
        <is>
          <t>Tools/Supplies</t>
        </is>
      </c>
      <c r="F13" s="27" t="inlineStr">
        <is>
          <t>Include</t>
        </is>
      </c>
      <c r="G13" s="26" t="inlineStr">
        <is>
          <t>Commercial and residential HVAC systems.</t>
        </is>
      </c>
      <c r="H13" s="26" t="inlineStr">
        <is>
          <t>Trane vs. Carrier: same industry, different charts?</t>
        </is>
      </c>
      <c r="I13" s="26" t="n"/>
      <c r="J13" s="28" t="n"/>
      <c r="K13" s="29" t="n"/>
    </row>
    <row r="14" ht="23.25" customHeight="1" s="17">
      <c r="A14" s="25" t="inlineStr">
        <is>
          <t>LII</t>
        </is>
      </c>
      <c r="B14" s="26" t="inlineStr">
        <is>
          <t>Lennox International</t>
        </is>
      </c>
      <c r="C14" s="26" t="inlineStr">
        <is>
          <t>HVAC</t>
        </is>
      </c>
      <c r="D14" s="26" t="n"/>
      <c r="E14" s="27" t="inlineStr">
        <is>
          <t>Tools/Supplies</t>
        </is>
      </c>
      <c r="F14" s="27" t="inlineStr">
        <is>
          <t>Include</t>
        </is>
      </c>
      <c r="G14" s="26" t="inlineStr">
        <is>
          <t>Residential furnaces, AC and heat pumps sold directly to contractors.</t>
        </is>
      </c>
      <c r="H14" s="26" t="inlineStr">
        <is>
          <t>Does a hot summer or a cold winter show up in Lennox's results?</t>
        </is>
      </c>
      <c r="I14" s="26" t="n"/>
      <c r="J14" s="28" t="n"/>
      <c r="K14" s="29" t="n"/>
    </row>
    <row r="15" ht="15" customHeight="1" s="17">
      <c r="A15" s="25" t="inlineStr">
        <is>
          <t>WSO</t>
        </is>
      </c>
      <c r="B15" s="26" t="inlineStr">
        <is>
          <t>Watsco</t>
        </is>
      </c>
      <c r="C15" s="26" t="inlineStr">
        <is>
          <t>HVAC</t>
        </is>
      </c>
      <c r="D15" s="26" t="n"/>
      <c r="E15" s="27" t="inlineStr">
        <is>
          <t>Distributor</t>
        </is>
      </c>
      <c r="F15" s="27" t="inlineStr">
        <is>
          <t>Include</t>
        </is>
      </c>
      <c r="G15" s="26" t="inlineStr">
        <is>
          <t>Largest HVAC/R equipment distributor in North America.</t>
        </is>
      </c>
      <c r="H15" s="26" t="inlineStr">
        <is>
          <t>Where does a tech actually pick up the unit before an install?</t>
        </is>
      </c>
      <c r="I15" s="26" t="n"/>
      <c r="J15" s="28" t="n"/>
      <c r="K15" s="29" t="n"/>
    </row>
    <row r="16" ht="23.25" customHeight="1" s="17">
      <c r="A16" s="25" t="inlineStr">
        <is>
          <t>FIX</t>
        </is>
      </c>
      <c r="B16" s="26" t="inlineStr">
        <is>
          <t>Comfort Systems USA</t>
        </is>
      </c>
      <c r="C16" s="26" t="inlineStr">
        <is>
          <t>HVAC</t>
        </is>
      </c>
      <c r="D16" s="26" t="inlineStr">
        <is>
          <t>Electrical</t>
        </is>
      </c>
      <c r="E16" s="27" t="inlineStr">
        <is>
          <t>Employer</t>
        </is>
      </c>
      <c r="F16" s="27" t="inlineStr">
        <is>
          <t>Include</t>
        </is>
      </c>
      <c r="G16" s="26" t="inlineStr">
        <is>
          <t>Mechanical and electrical contractor; data-center projects have driven big growth.</t>
        </is>
      </c>
      <c r="H16" s="26" t="inlineStr">
        <is>
          <t>Data centers need huge amounts of cooling. Who does the install work?</t>
        </is>
      </c>
      <c r="I16" s="26" t="n"/>
      <c r="J16" s="28" t="n"/>
      <c r="K16" s="29" t="n"/>
    </row>
    <row r="17" ht="15" customHeight="1" s="17">
      <c r="A17" s="25" t="inlineStr">
        <is>
          <t>MSFT</t>
        </is>
      </c>
      <c r="B17" s="26" t="inlineStr">
        <is>
          <t>Microsoft</t>
        </is>
      </c>
      <c r="C17" s="26" t="inlineStr">
        <is>
          <t>P-Tech / IT</t>
        </is>
      </c>
      <c r="D17" s="26" t="n"/>
      <c r="E17" s="27" t="inlineStr">
        <is>
          <t>Giant</t>
        </is>
      </c>
      <c r="F17" s="27" t="inlineStr">
        <is>
          <t>Include</t>
        </is>
      </c>
      <c r="G17" s="26" t="inlineStr">
        <is>
          <t>Windows, Office, Azure cloud and widely used IT certifications.</t>
        </is>
      </c>
      <c r="H17" s="26" t="inlineStr">
        <is>
          <t>Which Microsoft products did you use today?</t>
        </is>
      </c>
      <c r="I17" s="26" t="n"/>
      <c r="J17" s="28" t="n"/>
      <c r="K17" s="29" t="n"/>
    </row>
    <row r="18" ht="23.25" customHeight="1" s="17">
      <c r="A18" s="25" t="inlineStr">
        <is>
          <t>CSCO</t>
        </is>
      </c>
      <c r="B18" s="26" t="inlineStr">
        <is>
          <t>Cisco Systems</t>
        </is>
      </c>
      <c r="C18" s="26" t="inlineStr">
        <is>
          <t>P-Tech / IT</t>
        </is>
      </c>
      <c r="D18" s="26" t="n"/>
      <c r="E18" s="27" t="inlineStr">
        <is>
          <t>Tools/Supplies</t>
        </is>
      </c>
      <c r="F18" s="27" t="inlineStr">
        <is>
          <t>Include</t>
        </is>
      </c>
      <c r="G18" s="26" t="inlineStr">
        <is>
          <t>Networking hardware and the CCNA certification.</t>
        </is>
      </c>
      <c r="H18" s="26" t="inlineStr">
        <is>
          <t>Most networks you've used run through Cisco gear. Is it a growth stock or a steady one?</t>
        </is>
      </c>
      <c r="I18" s="26" t="n"/>
      <c r="J18" s="28" t="n"/>
      <c r="K18" s="29" t="n"/>
    </row>
    <row r="19" ht="15" customHeight="1" s="17">
      <c r="A19" s="25" t="inlineStr">
        <is>
          <t>NVDA</t>
        </is>
      </c>
      <c r="B19" s="26" t="inlineStr">
        <is>
          <t>Nvidia</t>
        </is>
      </c>
      <c r="C19" s="26" t="inlineStr">
        <is>
          <t>P-Tech / IT</t>
        </is>
      </c>
      <c r="D19" s="26" t="n"/>
      <c r="E19" s="27" t="inlineStr">
        <is>
          <t>Tools/Supplies</t>
        </is>
      </c>
      <c r="F19" s="27" t="inlineStr">
        <is>
          <t>Include</t>
        </is>
      </c>
      <c r="G19" s="26" t="inlineStr">
        <is>
          <t>Graphics and AI chips used in data centers and gaming.</t>
        </is>
      </c>
      <c r="H19" s="26" t="inlineStr">
        <is>
          <t>Look at NVDA's 5-year chart. What changed?</t>
        </is>
      </c>
      <c r="I19" s="26" t="n"/>
      <c r="J19" s="28" t="n"/>
      <c r="K19" s="29" t="n"/>
    </row>
    <row r="20" ht="23.25" customHeight="1" s="17">
      <c r="A20" s="25" t="inlineStr">
        <is>
          <t>IBM</t>
        </is>
      </c>
      <c r="B20" s="26" t="inlineStr">
        <is>
          <t>IBM</t>
        </is>
      </c>
      <c r="C20" s="26" t="inlineStr">
        <is>
          <t>P-Tech / IT</t>
        </is>
      </c>
      <c r="D20" s="26" t="n"/>
      <c r="E20" s="27" t="inlineStr">
        <is>
          <t>Employer</t>
        </is>
      </c>
      <c r="F20" s="27" t="inlineStr">
        <is>
          <t>Include</t>
        </is>
      </c>
      <c r="G20" s="26" t="inlineStr">
        <is>
          <t>Hybrid cloud, AI and mainframes; IBM helped create the P-TECH school model.</t>
        </is>
      </c>
      <c r="H20" s="26" t="inlineStr">
        <is>
          <t>The company behind P-TECH: what does it actually sell today?</t>
        </is>
      </c>
      <c r="I20" s="26" t="n"/>
      <c r="J20" s="28" t="n"/>
      <c r="K20" s="29" t="n"/>
    </row>
    <row r="21" ht="23.25" customHeight="1" s="17">
      <c r="A21" s="25" t="inlineStr">
        <is>
          <t>CRWD</t>
        </is>
      </c>
      <c r="B21" s="26" t="inlineStr">
        <is>
          <t>CrowdStrike</t>
        </is>
      </c>
      <c r="C21" s="26" t="inlineStr">
        <is>
          <t>P-Tech / IT</t>
        </is>
      </c>
      <c r="D21" s="26" t="n"/>
      <c r="E21" s="27" t="inlineStr">
        <is>
          <t>Wildcard</t>
        </is>
      </c>
      <c r="F21" s="27" t="inlineStr">
        <is>
          <t>Include</t>
        </is>
      </c>
      <c r="G21" s="26" t="inlineStr">
        <is>
          <t>Cybersecurity software protecting company computers and networks.</t>
        </is>
      </c>
      <c r="H21" s="26" t="inlineStr">
        <is>
          <t>Look up July 2024. What did one bad software update do to the stock?</t>
        </is>
      </c>
      <c r="I21" s="26" t="inlineStr">
        <is>
          <t>Great internet-sleuthing case study.</t>
        </is>
      </c>
      <c r="J21" s="28" t="n"/>
      <c r="K21" s="29" t="n"/>
    </row>
    <row r="22" ht="23.25" customHeight="1" s="17">
      <c r="A22" s="25" t="inlineStr">
        <is>
          <t>CAT</t>
        </is>
      </c>
      <c r="B22" s="26" t="inlineStr">
        <is>
          <t>Caterpillar</t>
        </is>
      </c>
      <c r="C22" s="26" t="inlineStr">
        <is>
          <t>Engineering / Manufacturing</t>
        </is>
      </c>
      <c r="D22" s="26" t="n"/>
      <c r="E22" s="27" t="inlineStr">
        <is>
          <t>Giant</t>
        </is>
      </c>
      <c r="F22" s="27" t="inlineStr">
        <is>
          <t>Include</t>
        </is>
      </c>
      <c r="G22" s="26" t="inlineStr">
        <is>
          <t>Heavy construction and mining equipment, engines and generators.</t>
        </is>
      </c>
      <c r="H22" s="26" t="inlineStr">
        <is>
          <t>CAT is often called an economic bellwether. Why?</t>
        </is>
      </c>
      <c r="I22" s="26" t="n"/>
      <c r="J22" s="28" t="n"/>
      <c r="K22" s="29" t="n"/>
    </row>
    <row r="23" ht="15" customHeight="1" s="17">
      <c r="A23" s="25" t="inlineStr">
        <is>
          <t>ROK</t>
        </is>
      </c>
      <c r="B23" s="26" t="inlineStr">
        <is>
          <t>Rockwell Automation</t>
        </is>
      </c>
      <c r="C23" s="26" t="inlineStr">
        <is>
          <t>Engineering / Manufacturing</t>
        </is>
      </c>
      <c r="D23" s="26" t="n"/>
      <c r="E23" s="27" t="inlineStr">
        <is>
          <t>Tools/Supplies</t>
        </is>
      </c>
      <c r="F23" s="27" t="inlineStr">
        <is>
          <t>Include</t>
        </is>
      </c>
      <c r="G23" s="26" t="inlineStr">
        <is>
          <t>Factory automation and Allen-Bradley PLCs.</t>
        </is>
      </c>
      <c r="H23" s="26" t="inlineStr">
        <is>
          <t>Ever programmed an Allen-Bradley PLC? That's Rockwell.</t>
        </is>
      </c>
      <c r="I23" s="26" t="n"/>
      <c r="J23" s="28" t="n"/>
      <c r="K23" s="29" t="n"/>
    </row>
    <row r="24" ht="15" customHeight="1" s="17">
      <c r="A24" s="25" t="inlineStr">
        <is>
          <t>LECO</t>
        </is>
      </c>
      <c r="B24" s="26" t="inlineStr">
        <is>
          <t>Lincoln Electric</t>
        </is>
      </c>
      <c r="C24" s="26" t="inlineStr">
        <is>
          <t>Engineering / Manufacturing</t>
        </is>
      </c>
      <c r="D24" s="26" t="n"/>
      <c r="E24" s="27" t="inlineStr">
        <is>
          <t>Tools/Supplies</t>
        </is>
      </c>
      <c r="F24" s="27" t="inlineStr">
        <is>
          <t>Include</t>
        </is>
      </c>
      <c r="G24" s="26" t="inlineStr">
        <is>
          <t>Welding machines, wire and consumables.</t>
        </is>
      </c>
      <c r="H24" s="26" t="inlineStr">
        <is>
          <t>What brand is the welder in your shop?</t>
        </is>
      </c>
      <c r="I24" s="26" t="n"/>
      <c r="J24" s="28" t="n"/>
      <c r="K24" s="29" t="n"/>
    </row>
    <row r="25" ht="23.25" customHeight="1" s="17">
      <c r="A25" s="25" t="inlineStr">
        <is>
          <t>FAST</t>
        </is>
      </c>
      <c r="B25" s="26" t="inlineStr">
        <is>
          <t>Fastenal</t>
        </is>
      </c>
      <c r="C25" s="26" t="inlineStr">
        <is>
          <t>Engineering / Manufacturing</t>
        </is>
      </c>
      <c r="D25" s="26" t="n"/>
      <c r="E25" s="27" t="inlineStr">
        <is>
          <t>Distributor</t>
        </is>
      </c>
      <c r="F25" s="27" t="inlineStr">
        <is>
          <t>Include</t>
        </is>
      </c>
      <c r="G25" s="26" t="inlineStr">
        <is>
          <t>Industrial and construction supplies, including on-site vending machines at factories.</t>
        </is>
      </c>
      <c r="H25" s="26" t="inlineStr">
        <is>
          <t>How does a company that sells nuts and bolts become a big stock?</t>
        </is>
      </c>
      <c r="I25" s="26" t="n"/>
      <c r="J25" s="28" t="n"/>
      <c r="K25" s="29" t="n"/>
    </row>
    <row r="26" ht="23.25" customHeight="1" s="17">
      <c r="A26" s="25" t="inlineStr">
        <is>
          <t>DE</t>
        </is>
      </c>
      <c r="B26" s="26" t="inlineStr">
        <is>
          <t>Deere &amp; Co.</t>
        </is>
      </c>
      <c r="C26" s="26" t="inlineStr">
        <is>
          <t>Engineering / Manufacturing</t>
        </is>
      </c>
      <c r="D26" s="26" t="n"/>
      <c r="E26" s="27" t="inlineStr">
        <is>
          <t>Employer</t>
        </is>
      </c>
      <c r="F26" s="27" t="inlineStr">
        <is>
          <t>Include</t>
        </is>
      </c>
      <c r="G26" s="26" t="inlineStr">
        <is>
          <t>Agricultural and construction machinery; a major U.S. manufacturing employer.</t>
        </is>
      </c>
      <c r="H26" s="26" t="inlineStr">
        <is>
          <t>How might crop prices affect tractor sales?</t>
        </is>
      </c>
      <c r="I26" s="26" t="n"/>
      <c r="J26" s="28" t="n"/>
      <c r="K26" s="29" t="n"/>
    </row>
    <row r="27" ht="15" customHeight="1" s="17">
      <c r="A27" s="25" t="inlineStr">
        <is>
          <t>GE</t>
        </is>
      </c>
      <c r="B27" s="26" t="inlineStr">
        <is>
          <t>GE Aerospace</t>
        </is>
      </c>
      <c r="C27" s="26" t="inlineStr">
        <is>
          <t>Engineering / Manufacturing</t>
        </is>
      </c>
      <c r="D27" s="26" t="n"/>
      <c r="E27" s="27" t="inlineStr">
        <is>
          <t>Giant</t>
        </is>
      </c>
      <c r="F27" s="27" t="inlineStr">
        <is>
          <t>Alternate</t>
        </is>
      </c>
      <c r="G27" s="26" t="inlineStr">
        <is>
          <t>Jet engines for commercial and military aircraft.</t>
        </is>
      </c>
      <c r="H27" s="26" t="inlineStr">
        <is>
          <t>GE used to make light bulbs and fridges. What happened?</t>
        </is>
      </c>
      <c r="I27" s="26" t="n"/>
      <c r="J27" s="28" t="n"/>
      <c r="K27" s="29" t="n"/>
    </row>
    <row r="28" ht="23.25" customHeight="1" s="17">
      <c r="A28" s="25" t="inlineStr">
        <is>
          <t>HD</t>
        </is>
      </c>
      <c r="B28" s="26" t="inlineStr">
        <is>
          <t>Home Depot</t>
        </is>
      </c>
      <c r="C28" s="26" t="inlineStr">
        <is>
          <t>Carpentry</t>
        </is>
      </c>
      <c r="D28" s="26" t="inlineStr">
        <is>
          <t>Electrical; HVAC</t>
        </is>
      </c>
      <c r="E28" s="27" t="inlineStr">
        <is>
          <t>Giant</t>
        </is>
      </c>
      <c r="F28" s="27" t="inlineStr">
        <is>
          <t>Include</t>
        </is>
      </c>
      <c r="G28" s="26" t="inlineStr">
        <is>
          <t>Largest home-improvement retailer, with a big pro-contractor business.</t>
        </is>
      </c>
      <c r="H28" s="26" t="inlineStr">
        <is>
          <t>Does a housing slowdown show up in HD's chart?</t>
        </is>
      </c>
      <c r="I28" s="26" t="n"/>
      <c r="J28" s="28" t="n"/>
      <c r="K28" s="29" t="n"/>
    </row>
    <row r="29" ht="15" customHeight="1" s="17">
      <c r="A29" s="25" t="inlineStr">
        <is>
          <t>LOW</t>
        </is>
      </c>
      <c r="B29" s="26" t="inlineStr">
        <is>
          <t>Lowe's</t>
        </is>
      </c>
      <c r="C29" s="26" t="inlineStr">
        <is>
          <t>Carpentry</t>
        </is>
      </c>
      <c r="D29" s="26" t="n"/>
      <c r="E29" s="27" t="inlineStr">
        <is>
          <t>Distributor</t>
        </is>
      </c>
      <c r="F29" s="27" t="inlineStr">
        <is>
          <t>Include</t>
        </is>
      </c>
      <c r="G29" s="26" t="inlineStr">
        <is>
          <t>Second-largest home-improvement retailer.</t>
        </is>
      </c>
      <c r="H29" s="26" t="inlineStr">
        <is>
          <t>Head-to-head: HD vs. LOW over 1 year and 5 years.</t>
        </is>
      </c>
      <c r="I29" s="26" t="n"/>
      <c r="J29" s="28" t="n"/>
      <c r="K29" s="29" t="n"/>
    </row>
    <row r="30" ht="15" customHeight="1" s="17">
      <c r="A30" s="25" t="inlineStr">
        <is>
          <t>WY</t>
        </is>
      </c>
      <c r="B30" s="26" t="inlineStr">
        <is>
          <t>Weyerhaeuser</t>
        </is>
      </c>
      <c r="C30" s="26" t="inlineStr">
        <is>
          <t>Carpentry</t>
        </is>
      </c>
      <c r="D30" s="26" t="n"/>
      <c r="E30" s="27" t="inlineStr">
        <is>
          <t>Tools/Supplies</t>
        </is>
      </c>
      <c r="F30" s="27" t="inlineStr">
        <is>
          <t>Include</t>
        </is>
      </c>
      <c r="G30" s="26" t="inlineStr">
        <is>
          <t>Timberland owner and lumber/wood-products maker.</t>
        </is>
      </c>
      <c r="H30" s="26" t="inlineStr">
        <is>
          <t>Track lumber prices next to WY's stock. Do they move together?</t>
        </is>
      </c>
      <c r="I30" s="26" t="n"/>
      <c r="J30" s="28" t="n"/>
      <c r="K30" s="29" t="n"/>
    </row>
    <row r="31" ht="15" customHeight="1" s="17">
      <c r="A31" s="25" t="inlineStr">
        <is>
          <t>SWK</t>
        </is>
      </c>
      <c r="B31" s="26" t="inlineStr">
        <is>
          <t>Stanley Black &amp; Decker</t>
        </is>
      </c>
      <c r="C31" s="26" t="inlineStr">
        <is>
          <t>Carpentry</t>
        </is>
      </c>
      <c r="D31" s="26" t="n"/>
      <c r="E31" s="27" t="inlineStr">
        <is>
          <t>Tools/Supplies</t>
        </is>
      </c>
      <c r="F31" s="27" t="inlineStr">
        <is>
          <t>Include</t>
        </is>
      </c>
      <c r="G31" s="26" t="inlineStr">
        <is>
          <t>DeWalt, Craftsman and Stanley tools.</t>
        </is>
      </c>
      <c r="H31" s="26" t="inlineStr">
        <is>
          <t>What brand is your drill?</t>
        </is>
      </c>
      <c r="I31" s="26" t="n"/>
      <c r="J31" s="28" t="n"/>
      <c r="K31" s="29" t="n"/>
    </row>
    <row r="32" ht="15" customHeight="1" s="17">
      <c r="A32" s="25" t="inlineStr">
        <is>
          <t>TREX</t>
        </is>
      </c>
      <c r="B32" s="26" t="inlineStr">
        <is>
          <t>Trex Company</t>
        </is>
      </c>
      <c r="C32" s="26" t="inlineStr">
        <is>
          <t>Carpentry</t>
        </is>
      </c>
      <c r="D32" s="26" t="n"/>
      <c r="E32" s="27" t="inlineStr">
        <is>
          <t>Wildcard</t>
        </is>
      </c>
      <c r="F32" s="27" t="inlineStr">
        <is>
          <t>Include</t>
        </is>
      </c>
      <c r="G32" s="26" t="inlineStr">
        <is>
          <t>Composite decking made from recycled materials.</t>
        </is>
      </c>
      <c r="H32" s="26" t="inlineStr">
        <is>
          <t>Decks are a summer project. Is there a seasonal pattern?</t>
        </is>
      </c>
      <c r="I32" s="26" t="n"/>
      <c r="J32" s="28" t="n"/>
      <c r="K32" s="29" t="n"/>
    </row>
    <row r="33" ht="15" customHeight="1" s="17">
      <c r="A33" s="25" t="inlineStr">
        <is>
          <t>DHI</t>
        </is>
      </c>
      <c r="B33" s="26" t="inlineStr">
        <is>
          <t>D.R. Horton</t>
        </is>
      </c>
      <c r="C33" s="26" t="inlineStr">
        <is>
          <t>Carpentry</t>
        </is>
      </c>
      <c r="D33" s="26" t="n"/>
      <c r="E33" s="27" t="inlineStr">
        <is>
          <t>Employer</t>
        </is>
      </c>
      <c r="F33" s="27" t="inlineStr">
        <is>
          <t>Alternate</t>
        </is>
      </c>
      <c r="G33" s="26" t="inlineStr">
        <is>
          <t>Largest U.S. homebuilder by volume.</t>
        </is>
      </c>
      <c r="H33" s="26" t="inlineStr">
        <is>
          <t>How do mortgage rates affect homebuilders?</t>
        </is>
      </c>
      <c r="I33" s="26" t="n"/>
      <c r="J33" s="28" t="n"/>
      <c r="K33" s="29" t="n"/>
    </row>
    <row r="34" ht="15" customHeight="1" s="17">
      <c r="A34" s="25" t="inlineStr">
        <is>
          <t>F</t>
        </is>
      </c>
      <c r="B34" s="26" t="inlineStr">
        <is>
          <t>Ford Motor</t>
        </is>
      </c>
      <c r="C34" s="26" t="inlineStr">
        <is>
          <t>Auto-Tech / AutoBody</t>
        </is>
      </c>
      <c r="D34" s="26" t="inlineStr">
        <is>
          <t>Law Enforcement</t>
        </is>
      </c>
      <c r="E34" s="27" t="inlineStr">
        <is>
          <t>Giant</t>
        </is>
      </c>
      <c r="F34" s="27" t="inlineStr">
        <is>
          <t>Include</t>
        </is>
      </c>
      <c r="G34" s="26" t="inlineStr">
        <is>
          <t>Trucks, cars and EVs; builds the Police Interceptor Utility.</t>
        </is>
      </c>
      <c r="H34" s="26" t="inlineStr">
        <is>
          <t>F-150 vs. EVs: where is Ford's money coming from?</t>
        </is>
      </c>
      <c r="I34" s="26" t="n"/>
      <c r="J34" s="28" t="n"/>
      <c r="K34" s="29" t="n"/>
    </row>
    <row r="35" ht="23.25" customHeight="1" s="17">
      <c r="A35" s="25" t="inlineStr">
        <is>
          <t>TSLA</t>
        </is>
      </c>
      <c r="B35" s="26" t="inlineStr">
        <is>
          <t>Tesla</t>
        </is>
      </c>
      <c r="C35" s="26" t="inlineStr">
        <is>
          <t>Auto-Tech / AutoBody</t>
        </is>
      </c>
      <c r="D35" s="26" t="n"/>
      <c r="E35" s="27" t="inlineStr">
        <is>
          <t>Wildcard</t>
        </is>
      </c>
      <c r="F35" s="27" t="inlineStr">
        <is>
          <t>Include</t>
        </is>
      </c>
      <c r="G35" s="26" t="inlineStr">
        <is>
          <t>Electric vehicles, batteries and charging; EVs need different service skills.</t>
        </is>
      </c>
      <c r="H35" s="26" t="inlineStr">
        <is>
          <t>Gas vs. EV: compare F and TSLA over 5 years.</t>
        </is>
      </c>
      <c r="I35" s="26" t="n"/>
      <c r="J35" s="28" t="n"/>
      <c r="K35" s="29" t="n"/>
    </row>
    <row r="36" ht="23.25" customHeight="1" s="17">
      <c r="A36" s="25" t="inlineStr">
        <is>
          <t>SNA</t>
        </is>
      </c>
      <c r="B36" s="26" t="inlineStr">
        <is>
          <t>Snap-on</t>
        </is>
      </c>
      <c r="C36" s="26" t="inlineStr">
        <is>
          <t>Auto-Tech / AutoBody</t>
        </is>
      </c>
      <c r="D36" s="26" t="n"/>
      <c r="E36" s="27" t="inlineStr">
        <is>
          <t>Tools/Supplies</t>
        </is>
      </c>
      <c r="F36" s="27" t="inlineStr">
        <is>
          <t>Include</t>
        </is>
      </c>
      <c r="G36" s="26" t="inlineStr">
        <is>
          <t>The tool truck: hand tools, diagnostic scanners and tool financing.</t>
        </is>
      </c>
      <c r="H36" s="26" t="inlineStr">
        <is>
          <t>Snap-on also lends money to techs for tools. How does that affect the business?</t>
        </is>
      </c>
      <c r="I36" s="26" t="n"/>
      <c r="J36" s="28" t="n"/>
      <c r="K36" s="29" t="n"/>
    </row>
    <row r="37" ht="23.25" customHeight="1" s="17">
      <c r="A37" s="25" t="inlineStr">
        <is>
          <t>ORLY</t>
        </is>
      </c>
      <c r="B37" s="26" t="inlineStr">
        <is>
          <t>O'Reilly Automotive</t>
        </is>
      </c>
      <c r="C37" s="26" t="inlineStr">
        <is>
          <t>Auto-Tech / AutoBody</t>
        </is>
      </c>
      <c r="D37" s="26" t="n"/>
      <c r="E37" s="27" t="inlineStr">
        <is>
          <t>Distributor</t>
        </is>
      </c>
      <c r="F37" s="27" t="inlineStr">
        <is>
          <t>Include</t>
        </is>
      </c>
      <c r="G37" s="26" t="inlineStr">
        <is>
          <t>Auto-parts stores serving DIY customers and professional shops.</t>
        </is>
      </c>
      <c r="H37" s="26" t="inlineStr">
        <is>
          <t>More older cars on the road means more repairs. Good for O'Reilly?</t>
        </is>
      </c>
      <c r="I37" s="26" t="n"/>
      <c r="J37" s="28" t="n"/>
      <c r="K37" s="29" t="n"/>
    </row>
    <row r="38" ht="23.25" customHeight="1" s="17">
      <c r="A38" s="25" t="inlineStr">
        <is>
          <t>PPG</t>
        </is>
      </c>
      <c r="B38" s="26" t="inlineStr">
        <is>
          <t>PPG Industries</t>
        </is>
      </c>
      <c r="C38" s="26" t="inlineStr">
        <is>
          <t>Auto-Tech / AutoBody</t>
        </is>
      </c>
      <c r="D38" s="26" t="n"/>
      <c r="E38" s="27" t="inlineStr">
        <is>
          <t>Tools/Supplies</t>
        </is>
      </c>
      <c r="F38" s="27" t="inlineStr">
        <is>
          <t>Include</t>
        </is>
      </c>
      <c r="G38" s="26" t="inlineStr">
        <is>
          <t>Paints and coatings, including automotive refinish paint for body shops.</t>
        </is>
      </c>
      <c r="H38" s="26" t="inlineStr">
        <is>
          <t>Body-shop paint is only part of PPG. What else do they make?</t>
        </is>
      </c>
      <c r="I38" s="26" t="n"/>
      <c r="J38" s="28" t="n"/>
      <c r="K38" s="29" t="n"/>
    </row>
    <row r="39" ht="15" customHeight="1" s="17">
      <c r="A39" s="25" t="inlineStr">
        <is>
          <t>GM</t>
        </is>
      </c>
      <c r="B39" s="26" t="inlineStr">
        <is>
          <t>General Motors</t>
        </is>
      </c>
      <c r="C39" s="26" t="inlineStr">
        <is>
          <t>Auto-Tech / AutoBody</t>
        </is>
      </c>
      <c r="D39" s="26" t="n"/>
      <c r="E39" s="27" t="inlineStr">
        <is>
          <t>Giant</t>
        </is>
      </c>
      <c r="F39" s="27" t="inlineStr">
        <is>
          <t>Alternate</t>
        </is>
      </c>
      <c r="G39" s="26" t="inlineStr">
        <is>
          <t>Chevrolet, GMC, Buick, Cadillac.</t>
        </is>
      </c>
      <c r="H39" s="26" t="inlineStr">
        <is>
          <t>Ford vs. GM: which has done better lately?</t>
        </is>
      </c>
      <c r="I39" s="26" t="n"/>
      <c r="J39" s="28" t="n"/>
      <c r="K39" s="29" t="n"/>
    </row>
    <row r="40" ht="15" customHeight="1" s="17">
      <c r="A40" s="25" t="inlineStr">
        <is>
          <t>CPRT</t>
        </is>
      </c>
      <c r="B40" s="26" t="inlineStr">
        <is>
          <t>Copart</t>
        </is>
      </c>
      <c r="C40" s="26" t="inlineStr">
        <is>
          <t>Auto-Tech / AutoBody</t>
        </is>
      </c>
      <c r="D40" s="26" t="n"/>
      <c r="E40" s="27" t="inlineStr">
        <is>
          <t>Distributor</t>
        </is>
      </c>
      <c r="F40" s="27" t="inlineStr">
        <is>
          <t>Alternate</t>
        </is>
      </c>
      <c r="G40" s="26" t="inlineStr">
        <is>
          <t>Online auctions for wrecked and salvage vehicles.</t>
        </is>
      </c>
      <c r="H40" s="26" t="inlineStr">
        <is>
          <t>Where does a totaled car go after the insurance claim?</t>
        </is>
      </c>
      <c r="I40" s="26" t="n"/>
      <c r="J40" s="28" t="n"/>
      <c r="K40" s="29" t="n"/>
    </row>
    <row r="41" ht="23.25" customHeight="1" s="17">
      <c r="A41" s="25" t="inlineStr">
        <is>
          <t>AAP</t>
        </is>
      </c>
      <c r="B41" s="26" t="inlineStr">
        <is>
          <t>Advance Auto Parts</t>
        </is>
      </c>
      <c r="C41" s="26" t="inlineStr">
        <is>
          <t>Auto-Tech / AutoBody</t>
        </is>
      </c>
      <c r="D41" s="26" t="n"/>
      <c r="E41" s="27" t="inlineStr">
        <is>
          <t>Wildcard</t>
        </is>
      </c>
      <c r="F41" s="27" t="inlineStr">
        <is>
          <t>Alternate</t>
        </is>
      </c>
      <c r="G41" s="26" t="inlineStr">
        <is>
          <t>Auto-parts retailer in the middle of a turnaround; very volatile in 2026.</t>
        </is>
      </c>
      <c r="H41" s="26" t="inlineStr">
        <is>
          <t>Big rally, big drop. What news moved it?</t>
        </is>
      </c>
      <c r="I41" s="26" t="n"/>
      <c r="J41" s="28" t="n"/>
      <c r="K41" s="29" t="n"/>
    </row>
    <row r="42" ht="23.25" customHeight="1" s="17">
      <c r="A42" s="25" t="inlineStr">
        <is>
          <t>ETN</t>
        </is>
      </c>
      <c r="B42" s="26" t="inlineStr">
        <is>
          <t>Eaton</t>
        </is>
      </c>
      <c r="C42" s="26" t="inlineStr">
        <is>
          <t>Electrical</t>
        </is>
      </c>
      <c r="D42" s="26" t="n"/>
      <c r="E42" s="27" t="inlineStr">
        <is>
          <t>Giant</t>
        </is>
      </c>
      <c r="F42" s="27" t="inlineStr">
        <is>
          <t>Include</t>
        </is>
      </c>
      <c r="G42" s="26" t="inlineStr">
        <is>
          <t>Breakers, panels and power distribution; strong data-center demand.</t>
        </is>
      </c>
      <c r="H42" s="26" t="inlineStr">
        <is>
          <t>Whose name is on the breaker panel at your house?</t>
        </is>
      </c>
      <c r="I42" s="26" t="n"/>
      <c r="J42" s="28" t="n"/>
      <c r="K42" s="29" t="n"/>
    </row>
    <row r="43" ht="15" customHeight="1" s="17">
      <c r="A43" s="25" t="inlineStr">
        <is>
          <t>HUBB</t>
        </is>
      </c>
      <c r="B43" s="26" t="inlineStr">
        <is>
          <t>Hubbell</t>
        </is>
      </c>
      <c r="C43" s="26" t="inlineStr">
        <is>
          <t>Electrical</t>
        </is>
      </c>
      <c r="D43" s="26" t="n"/>
      <c r="E43" s="27" t="inlineStr">
        <is>
          <t>Tools/Supplies</t>
        </is>
      </c>
      <c r="F43" s="27" t="inlineStr">
        <is>
          <t>Include</t>
        </is>
      </c>
      <c r="G43" s="26" t="inlineStr">
        <is>
          <t>Wiring devices, connectors and utility equipment.</t>
        </is>
      </c>
      <c r="H43" s="26" t="inlineStr">
        <is>
          <t>Look at the receptacles in this room. Who made them?</t>
        </is>
      </c>
      <c r="I43" s="26" t="n"/>
      <c r="J43" s="28" t="n"/>
      <c r="K43" s="29" t="n"/>
    </row>
    <row r="44" ht="15" customHeight="1" s="17">
      <c r="A44" s="25" t="inlineStr">
        <is>
          <t>GWW</t>
        </is>
      </c>
      <c r="B44" s="26" t="inlineStr">
        <is>
          <t>W.W. Grainger</t>
        </is>
      </c>
      <c r="C44" s="26" t="inlineStr">
        <is>
          <t>Electrical</t>
        </is>
      </c>
      <c r="D44" s="26" t="n"/>
      <c r="E44" s="27" t="inlineStr">
        <is>
          <t>Distributor</t>
        </is>
      </c>
      <c r="F44" s="27" t="inlineStr">
        <is>
          <t>Include</t>
        </is>
      </c>
      <c r="G44" s="26" t="inlineStr">
        <is>
          <t>Industrial and electrical supply distributor.</t>
        </is>
      </c>
      <c r="H44" s="26" t="inlineStr">
        <is>
          <t>Why do contractors buy from a distributor instead of the manufacturer?</t>
        </is>
      </c>
      <c r="I44" s="26" t="n"/>
      <c r="J44" s="28" t="n"/>
      <c r="K44" s="29" t="n"/>
    </row>
    <row r="45" ht="15" customHeight="1" s="17">
      <c r="A45" s="25" t="inlineStr">
        <is>
          <t>PWR</t>
        </is>
      </c>
      <c r="B45" s="26" t="inlineStr">
        <is>
          <t>Quanta Services</t>
        </is>
      </c>
      <c r="C45" s="26" t="inlineStr">
        <is>
          <t>Electrical</t>
        </is>
      </c>
      <c r="D45" s="26" t="n"/>
      <c r="E45" s="27" t="inlineStr">
        <is>
          <t>Employer</t>
        </is>
      </c>
      <c r="F45" s="27" t="inlineStr">
        <is>
          <t>Include</t>
        </is>
      </c>
      <c r="G45" s="26" t="inlineStr">
        <is>
          <t>Largest employer of utility lineworkers; power-grid construction.</t>
        </is>
      </c>
      <c r="H45" s="26" t="inlineStr">
        <is>
          <t>More data centers and EVs need more grid. Who builds it?</t>
        </is>
      </c>
      <c r="I45" s="26" t="n"/>
      <c r="J45" s="28" t="n"/>
      <c r="K45" s="29" t="n"/>
    </row>
    <row r="46" ht="15" customHeight="1" s="17">
      <c r="A46" s="25" t="inlineStr">
        <is>
          <t>GNRC</t>
        </is>
      </c>
      <c r="B46" s="26" t="inlineStr">
        <is>
          <t>Generac</t>
        </is>
      </c>
      <c r="C46" s="26" t="inlineStr">
        <is>
          <t>Electrical</t>
        </is>
      </c>
      <c r="D46" s="26" t="n"/>
      <c r="E46" s="27" t="inlineStr">
        <is>
          <t>Wildcard</t>
        </is>
      </c>
      <c r="F46" s="27" t="inlineStr">
        <is>
          <t>Include</t>
        </is>
      </c>
      <c r="G46" s="26" t="inlineStr">
        <is>
          <t>Home standby generators, often installed by electricians.</t>
        </is>
      </c>
      <c r="H46" s="26" t="inlineStr">
        <is>
          <t>Check GNRC's chart after a major hurricane or ice storm.</t>
        </is>
      </c>
      <c r="I46" s="26" t="n"/>
      <c r="J46" s="28" t="n"/>
      <c r="K46" s="29" t="n"/>
    </row>
    <row r="47" ht="15" customHeight="1" s="17">
      <c r="A47" s="30" t="n"/>
      <c r="B47" s="30" t="n"/>
      <c r="C47" s="30" t="n"/>
      <c r="D47" s="30" t="n"/>
      <c r="E47" s="30" t="n"/>
      <c r="F47" s="30" t="n"/>
      <c r="G47" s="30" t="n"/>
      <c r="H47" s="30" t="n"/>
      <c r="I47" s="30" t="n"/>
      <c r="J47" s="28" t="n"/>
      <c r="K47" s="29" t="n"/>
    </row>
    <row r="48" ht="15" customHeight="1" s="17">
      <c r="A48" s="30" t="n"/>
      <c r="B48" s="30" t="n"/>
      <c r="C48" s="30" t="n"/>
      <c r="D48" s="30" t="n"/>
      <c r="E48" s="30" t="n"/>
      <c r="F48" s="30" t="n"/>
      <c r="G48" s="30" t="n"/>
      <c r="H48" s="30" t="n"/>
      <c r="I48" s="30" t="n"/>
      <c r="J48" s="28" t="n"/>
      <c r="K48" s="29" t="n"/>
    </row>
    <row r="49" ht="15" customHeight="1" s="17">
      <c r="A49" s="30" t="n"/>
      <c r="B49" s="30" t="n"/>
      <c r="C49" s="30" t="n"/>
      <c r="D49" s="30" t="n"/>
      <c r="E49" s="30" t="n"/>
      <c r="F49" s="30" t="n"/>
      <c r="G49" s="30" t="n"/>
      <c r="H49" s="30" t="n"/>
      <c r="I49" s="30" t="n"/>
      <c r="J49" s="28" t="n"/>
      <c r="K49" s="29" t="n"/>
    </row>
    <row r="50" ht="15" customHeight="1" s="17">
      <c r="A50" s="30" t="n"/>
      <c r="B50" s="30" t="n"/>
      <c r="C50" s="30" t="n"/>
      <c r="D50" s="30" t="n"/>
      <c r="E50" s="30" t="n"/>
      <c r="F50" s="30" t="n"/>
      <c r="G50" s="30" t="n"/>
      <c r="H50" s="30" t="n"/>
      <c r="I50" s="30" t="n"/>
      <c r="J50" s="28" t="n"/>
      <c r="K50" s="29" t="n"/>
    </row>
    <row r="51" ht="15" customHeight="1" s="17">
      <c r="A51" s="30" t="n"/>
      <c r="B51" s="30" t="n"/>
      <c r="C51" s="30" t="n"/>
      <c r="D51" s="30" t="n"/>
      <c r="E51" s="30" t="n"/>
      <c r="F51" s="30" t="n"/>
      <c r="G51" s="30" t="n"/>
      <c r="H51" s="30" t="n"/>
      <c r="I51" s="30" t="n"/>
      <c r="J51" s="28" t="n"/>
      <c r="K51" s="29" t="n"/>
    </row>
    <row r="52" ht="15" customHeight="1" s="17">
      <c r="A52" s="30" t="n"/>
      <c r="B52" s="30" t="n"/>
      <c r="C52" s="30" t="n"/>
      <c r="D52" s="30" t="n"/>
      <c r="E52" s="30" t="n"/>
      <c r="F52" s="30" t="n"/>
      <c r="G52" s="30" t="n"/>
      <c r="H52" s="30" t="n"/>
      <c r="I52" s="30" t="n"/>
      <c r="J52" s="28" t="n"/>
      <c r="K52" s="29" t="n"/>
    </row>
    <row r="53" ht="15" customHeight="1" s="17">
      <c r="A53" s="30" t="n"/>
      <c r="B53" s="30" t="n"/>
      <c r="C53" s="30" t="n"/>
      <c r="D53" s="30" t="n"/>
      <c r="E53" s="30" t="n"/>
      <c r="F53" s="30" t="n"/>
      <c r="G53" s="30" t="n"/>
      <c r="H53" s="30" t="n"/>
      <c r="I53" s="30" t="n"/>
      <c r="J53" s="28" t="n"/>
      <c r="K53" s="29" t="n"/>
    </row>
    <row r="54" ht="15" customHeight="1" s="17">
      <c r="A54" s="30" t="n"/>
      <c r="B54" s="30" t="n"/>
      <c r="C54" s="30" t="n"/>
      <c r="D54" s="30" t="n"/>
      <c r="E54" s="30" t="n"/>
      <c r="F54" s="30" t="n"/>
      <c r="G54" s="30" t="n"/>
      <c r="H54" s="30" t="n"/>
      <c r="I54" s="30" t="n"/>
      <c r="J54" s="28" t="n"/>
      <c r="K54" s="29" t="n"/>
    </row>
    <row r="55" ht="15" customHeight="1" s="17">
      <c r="A55" s="30" t="n"/>
      <c r="B55" s="30" t="n"/>
      <c r="C55" s="30" t="n"/>
      <c r="D55" s="30" t="n"/>
      <c r="E55" s="30" t="n"/>
      <c r="F55" s="30" t="n"/>
      <c r="G55" s="30" t="n"/>
      <c r="H55" s="30" t="n"/>
      <c r="I55" s="30" t="n"/>
      <c r="J55" s="28" t="n"/>
      <c r="K55" s="29" t="n"/>
    </row>
    <row r="56" ht="15" customHeight="1" s="17">
      <c r="A56" s="30" t="n"/>
      <c r="B56" s="30" t="n"/>
      <c r="C56" s="30" t="n"/>
      <c r="D56" s="30" t="n"/>
      <c r="E56" s="30" t="n"/>
      <c r="F56" s="30" t="n"/>
      <c r="G56" s="30" t="n"/>
      <c r="H56" s="30" t="n"/>
      <c r="I56" s="30" t="n"/>
      <c r="J56" s="28" t="n"/>
      <c r="K56" s="29" t="n"/>
    </row>
    <row r="57" ht="15" customHeight="1" s="17">
      <c r="A57" s="30" t="n"/>
      <c r="B57" s="30" t="n"/>
      <c r="C57" s="30" t="n"/>
      <c r="D57" s="30" t="n"/>
      <c r="E57" s="30" t="n"/>
      <c r="F57" s="30" t="n"/>
      <c r="G57" s="30" t="n"/>
      <c r="H57" s="30" t="n"/>
      <c r="I57" s="30" t="n"/>
      <c r="J57" s="28" t="n"/>
      <c r="K57" s="29" t="n"/>
    </row>
    <row r="58" ht="15" customHeight="1" s="17">
      <c r="A58" s="30" t="n"/>
      <c r="B58" s="30" t="n"/>
      <c r="C58" s="30" t="n"/>
      <c r="D58" s="30" t="n"/>
      <c r="E58" s="30" t="n"/>
      <c r="F58" s="30" t="n"/>
      <c r="G58" s="30" t="n"/>
      <c r="H58" s="30" t="n"/>
      <c r="I58" s="30" t="n"/>
      <c r="J58" s="28" t="n"/>
      <c r="K58" s="29" t="n"/>
    </row>
    <row r="59" ht="15" customHeight="1" s="17">
      <c r="A59" s="30" t="n"/>
      <c r="B59" s="30" t="n"/>
      <c r="C59" s="30" t="n"/>
      <c r="D59" s="30" t="n"/>
      <c r="E59" s="30" t="n"/>
      <c r="F59" s="30" t="n"/>
      <c r="G59" s="30" t="n"/>
      <c r="H59" s="30" t="n"/>
      <c r="I59" s="30" t="n"/>
      <c r="J59" s="28" t="n"/>
      <c r="K59" s="29" t="n"/>
    </row>
    <row r="60" ht="15" customHeight="1" s="17">
      <c r="A60" s="30" t="n"/>
      <c r="B60" s="30" t="n"/>
      <c r="C60" s="30" t="n"/>
      <c r="D60" s="30" t="n"/>
      <c r="E60" s="30" t="n"/>
      <c r="F60" s="30" t="n"/>
      <c r="G60" s="30" t="n"/>
      <c r="H60" s="30" t="n"/>
      <c r="I60" s="30" t="n"/>
      <c r="J60" s="28" t="n"/>
      <c r="K60" s="29" t="n"/>
    </row>
    <row r="61" ht="15" customHeight="1" s="17">
      <c r="A61" s="30" t="n"/>
      <c r="B61" s="30" t="n"/>
      <c r="C61" s="30" t="n"/>
      <c r="D61" s="30" t="n"/>
      <c r="E61" s="30" t="n"/>
      <c r="F61" s="30" t="n"/>
      <c r="G61" s="30" t="n"/>
      <c r="H61" s="30" t="n"/>
      <c r="I61" s="30" t="n"/>
      <c r="J61" s="28" t="n"/>
      <c r="K61" s="29" t="n"/>
    </row>
    <row r="62" ht="15" customHeight="1" s="17">
      <c r="A62" s="30" t="n"/>
      <c r="B62" s="30" t="n"/>
      <c r="C62" s="30" t="n"/>
      <c r="D62" s="30" t="n"/>
      <c r="E62" s="30" t="n"/>
      <c r="F62" s="30" t="n"/>
      <c r="G62" s="30" t="n"/>
      <c r="H62" s="30" t="n"/>
      <c r="I62" s="30" t="n"/>
      <c r="J62" s="28" t="n"/>
      <c r="K62" s="29" t="n"/>
    </row>
    <row r="63" ht="15" customHeight="1" s="17">
      <c r="A63" s="30" t="n"/>
      <c r="B63" s="30" t="n"/>
      <c r="C63" s="30" t="n"/>
      <c r="D63" s="30" t="n"/>
      <c r="E63" s="30" t="n"/>
      <c r="F63" s="30" t="n"/>
      <c r="G63" s="30" t="n"/>
      <c r="H63" s="30" t="n"/>
      <c r="I63" s="30" t="n"/>
      <c r="J63" s="28" t="n"/>
      <c r="K63" s="29" t="n"/>
    </row>
    <row r="64" ht="15" customHeight="1" s="17">
      <c r="A64" s="30" t="n"/>
      <c r="B64" s="30" t="n"/>
      <c r="C64" s="30" t="n"/>
      <c r="D64" s="30" t="n"/>
      <c r="E64" s="30" t="n"/>
      <c r="F64" s="30" t="n"/>
      <c r="G64" s="30" t="n"/>
      <c r="H64" s="30" t="n"/>
      <c r="I64" s="30" t="n"/>
      <c r="J64" s="28" t="n"/>
      <c r="K64" s="29" t="n"/>
    </row>
    <row r="65" ht="15" customHeight="1" s="17">
      <c r="A65" s="30" t="n"/>
      <c r="B65" s="30" t="n"/>
      <c r="C65" s="30" t="n"/>
      <c r="D65" s="30" t="n"/>
      <c r="E65" s="30" t="n"/>
      <c r="F65" s="30" t="n"/>
      <c r="G65" s="30" t="n"/>
      <c r="H65" s="30" t="n"/>
      <c r="I65" s="30" t="n"/>
      <c r="J65" s="28" t="n"/>
      <c r="K65" s="29" t="n"/>
    </row>
    <row r="66" ht="15" customHeight="1" s="17">
      <c r="A66" s="30" t="n"/>
      <c r="B66" s="30" t="n"/>
      <c r="C66" s="30" t="n"/>
      <c r="D66" s="30" t="n"/>
      <c r="E66" s="30" t="n"/>
      <c r="F66" s="30" t="n"/>
      <c r="G66" s="30" t="n"/>
      <c r="H66" s="30" t="n"/>
      <c r="I66" s="30" t="n"/>
      <c r="J66" s="28" t="n"/>
      <c r="K66" s="29" t="n"/>
    </row>
    <row r="67" ht="15" customHeight="1" s="17">
      <c r="A67" s="30" t="n"/>
      <c r="B67" s="30" t="n"/>
      <c r="C67" s="30" t="n"/>
      <c r="D67" s="30" t="n"/>
      <c r="E67" s="30" t="n"/>
      <c r="F67" s="30" t="n"/>
      <c r="G67" s="30" t="n"/>
      <c r="H67" s="30" t="n"/>
      <c r="I67" s="30" t="n"/>
      <c r="J67" s="28" t="n"/>
      <c r="K67" s="29" t="n"/>
    </row>
    <row r="68" ht="15" customHeight="1" s="17">
      <c r="A68" s="30" t="n"/>
      <c r="B68" s="30" t="n"/>
      <c r="C68" s="30" t="n"/>
      <c r="D68" s="30" t="n"/>
      <c r="E68" s="30" t="n"/>
      <c r="F68" s="30" t="n"/>
      <c r="G68" s="30" t="n"/>
      <c r="H68" s="30" t="n"/>
      <c r="I68" s="30" t="n"/>
      <c r="J68" s="28" t="n"/>
      <c r="K68" s="29" t="n"/>
    </row>
    <row r="69" ht="15" customHeight="1" s="17">
      <c r="A69" s="30" t="n"/>
      <c r="B69" s="30" t="n"/>
      <c r="C69" s="30" t="n"/>
      <c r="D69" s="30" t="n"/>
      <c r="E69" s="30" t="n"/>
      <c r="F69" s="30" t="n"/>
      <c r="G69" s="30" t="n"/>
      <c r="H69" s="30" t="n"/>
      <c r="I69" s="30" t="n"/>
      <c r="J69" s="28" t="n"/>
      <c r="K69" s="29" t="n"/>
    </row>
    <row r="70" ht="15" customHeight="1" s="17">
      <c r="A70" s="30" t="n"/>
      <c r="B70" s="30" t="n"/>
      <c r="C70" s="30" t="n"/>
      <c r="D70" s="30" t="n"/>
      <c r="E70" s="30" t="n"/>
      <c r="F70" s="30" t="n"/>
      <c r="G70" s="30" t="n"/>
      <c r="H70" s="30" t="n"/>
      <c r="I70" s="30" t="n"/>
      <c r="J70" s="28" t="n"/>
      <c r="K70" s="29" t="n"/>
    </row>
    <row r="71" ht="15" customHeight="1" s="17">
      <c r="A71" s="30" t="n"/>
      <c r="B71" s="30" t="n"/>
      <c r="C71" s="30" t="n"/>
      <c r="D71" s="30" t="n"/>
      <c r="E71" s="30" t="n"/>
      <c r="F71" s="30" t="n"/>
      <c r="G71" s="30" t="n"/>
      <c r="H71" s="30" t="n"/>
      <c r="I71" s="30" t="n"/>
      <c r="J71" s="28" t="n"/>
      <c r="K71" s="29" t="n"/>
    </row>
    <row r="72" ht="15" customHeight="1" s="17">
      <c r="A72" s="30" t="n"/>
      <c r="B72" s="30" t="n"/>
      <c r="C72" s="30" t="n"/>
      <c r="D72" s="30" t="n"/>
      <c r="E72" s="30" t="n"/>
      <c r="F72" s="30" t="n"/>
      <c r="G72" s="30" t="n"/>
      <c r="H72" s="30" t="n"/>
      <c r="I72" s="30" t="n"/>
      <c r="J72" s="28" t="n"/>
      <c r="K72" s="29" t="n"/>
    </row>
    <row r="73" ht="15" customHeight="1" s="17">
      <c r="A73" s="30" t="n"/>
      <c r="B73" s="30" t="n"/>
      <c r="C73" s="30" t="n"/>
      <c r="D73" s="30" t="n"/>
      <c r="E73" s="30" t="n"/>
      <c r="F73" s="30" t="n"/>
      <c r="G73" s="30" t="n"/>
      <c r="H73" s="30" t="n"/>
      <c r="I73" s="30" t="n"/>
      <c r="J73" s="28" t="n"/>
      <c r="K73" s="29" t="n"/>
    </row>
    <row r="74" ht="15" customHeight="1" s="17">
      <c r="A74" s="30" t="n"/>
      <c r="B74" s="30" t="n"/>
      <c r="C74" s="30" t="n"/>
      <c r="D74" s="30" t="n"/>
      <c r="E74" s="30" t="n"/>
      <c r="F74" s="30" t="n"/>
      <c r="G74" s="30" t="n"/>
      <c r="H74" s="30" t="n"/>
      <c r="I74" s="30" t="n"/>
      <c r="J74" s="28" t="n"/>
      <c r="K74" s="29" t="n"/>
    </row>
    <row r="75" ht="15" customHeight="1" s="17">
      <c r="A75" s="30" t="n"/>
      <c r="B75" s="30" t="n"/>
      <c r="C75" s="30" t="n"/>
      <c r="D75" s="30" t="n"/>
      <c r="E75" s="30" t="n"/>
      <c r="F75" s="30" t="n"/>
      <c r="G75" s="30" t="n"/>
      <c r="H75" s="30" t="n"/>
      <c r="I75" s="30" t="n"/>
      <c r="J75" s="28" t="n"/>
      <c r="K75" s="29" t="n"/>
    </row>
    <row r="76" ht="15" customHeight="1" s="17">
      <c r="A76" s="30" t="n"/>
      <c r="B76" s="30" t="n"/>
      <c r="C76" s="30" t="n"/>
      <c r="D76" s="30" t="n"/>
      <c r="E76" s="30" t="n"/>
      <c r="F76" s="30" t="n"/>
      <c r="G76" s="30" t="n"/>
      <c r="H76" s="30" t="n"/>
      <c r="I76" s="30" t="n"/>
      <c r="J76" s="28" t="n"/>
      <c r="K76" s="29" t="n"/>
    </row>
    <row r="77" ht="15" customHeight="1" s="17">
      <c r="A77" s="30" t="n"/>
      <c r="B77" s="30" t="n"/>
      <c r="C77" s="30" t="n"/>
      <c r="D77" s="30" t="n"/>
      <c r="E77" s="30" t="n"/>
      <c r="F77" s="30" t="n"/>
      <c r="G77" s="30" t="n"/>
      <c r="H77" s="30" t="n"/>
      <c r="I77" s="30" t="n"/>
      <c r="J77" s="28" t="n"/>
      <c r="K77" s="29" t="n"/>
    </row>
    <row r="78" ht="15" customHeight="1" s="17">
      <c r="A78" s="30" t="n"/>
      <c r="B78" s="30" t="n"/>
      <c r="C78" s="30" t="n"/>
      <c r="D78" s="30" t="n"/>
      <c r="E78" s="30" t="n"/>
      <c r="F78" s="30" t="n"/>
      <c r="G78" s="30" t="n"/>
      <c r="H78" s="30" t="n"/>
      <c r="I78" s="30" t="n"/>
      <c r="J78" s="28" t="n"/>
      <c r="K78" s="29" t="n"/>
    </row>
    <row r="79" ht="15" customHeight="1" s="17">
      <c r="A79" s="30" t="n"/>
      <c r="B79" s="30" t="n"/>
      <c r="C79" s="30" t="n"/>
      <c r="D79" s="30" t="n"/>
      <c r="E79" s="30" t="n"/>
      <c r="F79" s="30" t="n"/>
      <c r="G79" s="30" t="n"/>
      <c r="H79" s="30" t="n"/>
      <c r="I79" s="30" t="n"/>
      <c r="J79" s="28" t="n"/>
      <c r="K79" s="29" t="n"/>
    </row>
    <row r="80" ht="15" customHeight="1" s="17">
      <c r="A80" s="30" t="n"/>
      <c r="B80" s="30" t="n"/>
      <c r="C80" s="30" t="n"/>
      <c r="D80" s="30" t="n"/>
      <c r="E80" s="30" t="n"/>
      <c r="F80" s="30" t="n"/>
      <c r="G80" s="30" t="n"/>
      <c r="H80" s="30" t="n"/>
      <c r="I80" s="30" t="n"/>
      <c r="J80" s="28" t="n"/>
      <c r="K80" s="29" t="n"/>
    </row>
    <row r="81" ht="15" customHeight="1" s="17">
      <c r="A81" s="30" t="n"/>
      <c r="B81" s="30" t="n"/>
      <c r="C81" s="30" t="n"/>
      <c r="D81" s="30" t="n"/>
      <c r="E81" s="30" t="n"/>
      <c r="F81" s="30" t="n"/>
      <c r="G81" s="30" t="n"/>
      <c r="H81" s="30" t="n"/>
      <c r="I81" s="30" t="n"/>
      <c r="J81" s="28" t="n"/>
      <c r="K81" s="29" t="n"/>
    </row>
    <row r="82" ht="15" customHeight="1" s="17">
      <c r="A82" s="30" t="n"/>
      <c r="B82" s="30" t="n"/>
      <c r="C82" s="30" t="n"/>
      <c r="D82" s="30" t="n"/>
      <c r="E82" s="30" t="n"/>
      <c r="F82" s="30" t="n"/>
      <c r="G82" s="30" t="n"/>
      <c r="H82" s="30" t="n"/>
      <c r="I82" s="30" t="n"/>
      <c r="J82" s="28" t="n"/>
      <c r="K82" s="29" t="n"/>
    </row>
    <row r="83" ht="15" customHeight="1" s="17">
      <c r="A83" s="30" t="n"/>
      <c r="B83" s="30" t="n"/>
      <c r="C83" s="30" t="n"/>
      <c r="D83" s="30" t="n"/>
      <c r="E83" s="30" t="n"/>
      <c r="F83" s="30" t="n"/>
      <c r="G83" s="30" t="n"/>
      <c r="H83" s="30" t="n"/>
      <c r="I83" s="30" t="n"/>
      <c r="J83" s="28" t="n"/>
      <c r="K83" s="29" t="n"/>
    </row>
    <row r="84" ht="15" customHeight="1" s="17">
      <c r="A84" s="30" t="n"/>
      <c r="B84" s="30" t="n"/>
      <c r="C84" s="30" t="n"/>
      <c r="D84" s="30" t="n"/>
      <c r="E84" s="30" t="n"/>
      <c r="F84" s="30" t="n"/>
      <c r="G84" s="30" t="n"/>
      <c r="H84" s="30" t="n"/>
      <c r="I84" s="30" t="n"/>
      <c r="J84" s="28" t="n"/>
      <c r="K84" s="29" t="n"/>
    </row>
    <row r="85" ht="15" customHeight="1" s="17">
      <c r="A85" s="30" t="n"/>
      <c r="B85" s="30" t="n"/>
      <c r="C85" s="30" t="n"/>
      <c r="D85" s="30" t="n"/>
      <c r="E85" s="30" t="n"/>
      <c r="F85" s="30" t="n"/>
      <c r="G85" s="30" t="n"/>
      <c r="H85" s="30" t="n"/>
      <c r="I85" s="30" t="n"/>
      <c r="J85" s="28" t="n"/>
      <c r="K85" s="29" t="n"/>
    </row>
    <row r="86" ht="15" customHeight="1" s="17">
      <c r="A86" s="30" t="n"/>
      <c r="B86" s="30" t="n"/>
      <c r="C86" s="30" t="n"/>
      <c r="D86" s="30" t="n"/>
      <c r="E86" s="30" t="n"/>
      <c r="F86" s="30" t="n"/>
      <c r="G86" s="30" t="n"/>
      <c r="H86" s="30" t="n"/>
      <c r="I86" s="30" t="n"/>
      <c r="J86" s="28" t="n"/>
      <c r="K86" s="29" t="n"/>
    </row>
    <row r="87" ht="15" customHeight="1" s="17">
      <c r="A87" s="30" t="n"/>
      <c r="B87" s="30" t="n"/>
      <c r="C87" s="30" t="n"/>
      <c r="D87" s="30" t="n"/>
      <c r="E87" s="30" t="n"/>
      <c r="F87" s="30" t="n"/>
      <c r="G87" s="30" t="n"/>
      <c r="H87" s="30" t="n"/>
      <c r="I87" s="30" t="n"/>
      <c r="J87" s="28" t="n"/>
      <c r="K87" s="29" t="n"/>
    </row>
    <row r="88" ht="15" customHeight="1" s="17">
      <c r="A88" s="30" t="n"/>
      <c r="B88" s="30" t="n"/>
      <c r="C88" s="30" t="n"/>
      <c r="D88" s="30" t="n"/>
      <c r="E88" s="30" t="n"/>
      <c r="F88" s="30" t="n"/>
      <c r="G88" s="30" t="n"/>
      <c r="H88" s="30" t="n"/>
      <c r="I88" s="30" t="n"/>
      <c r="J88" s="28" t="n"/>
      <c r="K88" s="29" t="n"/>
    </row>
    <row r="89" ht="15" customHeight="1" s="17">
      <c r="A89" s="30" t="n"/>
      <c r="B89" s="30" t="n"/>
      <c r="C89" s="30" t="n"/>
      <c r="D89" s="30" t="n"/>
      <c r="E89" s="30" t="n"/>
      <c r="F89" s="30" t="n"/>
      <c r="G89" s="30" t="n"/>
      <c r="H89" s="30" t="n"/>
      <c r="I89" s="30" t="n"/>
      <c r="J89" s="28" t="n"/>
      <c r="K89" s="29" t="n"/>
    </row>
    <row r="90" ht="15" customHeight="1" s="17">
      <c r="A90" s="30" t="n"/>
      <c r="B90" s="30" t="n"/>
      <c r="C90" s="30" t="n"/>
      <c r="D90" s="30" t="n"/>
      <c r="E90" s="30" t="n"/>
      <c r="F90" s="30" t="n"/>
      <c r="G90" s="30" t="n"/>
      <c r="H90" s="30" t="n"/>
      <c r="I90" s="30" t="n"/>
      <c r="J90" s="28" t="n"/>
      <c r="K90" s="29" t="n"/>
    </row>
    <row r="91" ht="15" customHeight="1" s="17">
      <c r="A91" s="30" t="n"/>
      <c r="B91" s="30" t="n"/>
      <c r="C91" s="30" t="n"/>
      <c r="D91" s="30" t="n"/>
      <c r="E91" s="30" t="n"/>
      <c r="F91" s="30" t="n"/>
      <c r="G91" s="30" t="n"/>
      <c r="H91" s="30" t="n"/>
      <c r="I91" s="30" t="n"/>
      <c r="J91" s="28" t="n"/>
      <c r="K91" s="29" t="n"/>
    </row>
    <row r="92" ht="15" customHeight="1" s="17">
      <c r="A92" s="30" t="n"/>
      <c r="B92" s="30" t="n"/>
      <c r="C92" s="30" t="n"/>
      <c r="D92" s="30" t="n"/>
      <c r="E92" s="30" t="n"/>
      <c r="F92" s="30" t="n"/>
      <c r="G92" s="30" t="n"/>
      <c r="H92" s="30" t="n"/>
      <c r="I92" s="30" t="n"/>
      <c r="J92" s="28" t="n"/>
      <c r="K92" s="29" t="n"/>
    </row>
    <row r="93" ht="15" customHeight="1" s="17">
      <c r="A93" s="30" t="n"/>
      <c r="B93" s="30" t="n"/>
      <c r="C93" s="30" t="n"/>
      <c r="D93" s="30" t="n"/>
      <c r="E93" s="30" t="n"/>
      <c r="F93" s="30" t="n"/>
      <c r="G93" s="30" t="n"/>
      <c r="H93" s="30" t="n"/>
      <c r="I93" s="30" t="n"/>
      <c r="J93" s="28" t="n"/>
      <c r="K93" s="29" t="n"/>
    </row>
    <row r="94" ht="15" customHeight="1" s="17">
      <c r="A94" s="30" t="n"/>
      <c r="B94" s="30" t="n"/>
      <c r="C94" s="30" t="n"/>
      <c r="D94" s="30" t="n"/>
      <c r="E94" s="30" t="n"/>
      <c r="F94" s="30" t="n"/>
      <c r="G94" s="30" t="n"/>
      <c r="H94" s="30" t="n"/>
      <c r="I94" s="30" t="n"/>
      <c r="J94" s="28" t="n"/>
      <c r="K94" s="29" t="n"/>
    </row>
    <row r="95" ht="15" customHeight="1" s="17">
      <c r="A95" s="30" t="n"/>
      <c r="B95" s="30" t="n"/>
      <c r="C95" s="30" t="n"/>
      <c r="D95" s="30" t="n"/>
      <c r="E95" s="30" t="n"/>
      <c r="F95" s="30" t="n"/>
      <c r="G95" s="30" t="n"/>
      <c r="H95" s="30" t="n"/>
      <c r="I95" s="30" t="n"/>
      <c r="J95" s="28" t="n"/>
      <c r="K95" s="29" t="n"/>
    </row>
    <row r="96" ht="15" customHeight="1" s="17">
      <c r="A96" s="30" t="n"/>
      <c r="B96" s="30" t="n"/>
      <c r="C96" s="30" t="n"/>
      <c r="D96" s="30" t="n"/>
      <c r="E96" s="30" t="n"/>
      <c r="F96" s="30" t="n"/>
      <c r="G96" s="30" t="n"/>
      <c r="H96" s="30" t="n"/>
      <c r="I96" s="30" t="n"/>
      <c r="J96" s="28" t="n"/>
      <c r="K96" s="29" t="n"/>
    </row>
    <row r="97" ht="15" customHeight="1" s="17">
      <c r="A97" s="30" t="n"/>
      <c r="B97" s="30" t="n"/>
      <c r="C97" s="30" t="n"/>
      <c r="D97" s="30" t="n"/>
      <c r="E97" s="30" t="n"/>
      <c r="F97" s="30" t="n"/>
      <c r="G97" s="30" t="n"/>
      <c r="H97" s="30" t="n"/>
      <c r="I97" s="30" t="n"/>
      <c r="J97" s="28" t="n"/>
      <c r="K97" s="29" t="n"/>
    </row>
    <row r="98" ht="15" customHeight="1" s="17">
      <c r="A98" s="30" t="n"/>
      <c r="B98" s="30" t="n"/>
      <c r="C98" s="30" t="n"/>
      <c r="D98" s="30" t="n"/>
      <c r="E98" s="30" t="n"/>
      <c r="F98" s="30" t="n"/>
      <c r="G98" s="30" t="n"/>
      <c r="H98" s="30" t="n"/>
      <c r="I98" s="30" t="n"/>
      <c r="J98" s="28" t="n"/>
      <c r="K98" s="29" t="n"/>
    </row>
    <row r="99" ht="15" customHeight="1" s="17">
      <c r="A99" s="30" t="n"/>
      <c r="B99" s="30" t="n"/>
      <c r="C99" s="30" t="n"/>
      <c r="D99" s="30" t="n"/>
      <c r="E99" s="30" t="n"/>
      <c r="F99" s="30" t="n"/>
      <c r="G99" s="30" t="n"/>
      <c r="H99" s="30" t="n"/>
      <c r="I99" s="30" t="n"/>
      <c r="J99" s="28" t="n"/>
      <c r="K99" s="29" t="n"/>
    </row>
    <row r="100" ht="15" customHeight="1" s="17">
      <c r="A100" s="30" t="n"/>
      <c r="B100" s="30" t="n"/>
      <c r="C100" s="30" t="n"/>
      <c r="D100" s="30" t="n"/>
      <c r="E100" s="30" t="n"/>
      <c r="F100" s="30" t="n"/>
      <c r="G100" s="30" t="n"/>
      <c r="H100" s="30" t="n"/>
      <c r="I100" s="30" t="n"/>
      <c r="J100" s="28" t="n"/>
      <c r="K100" s="29" t="n"/>
    </row>
    <row r="101" ht="15" customHeight="1" s="17">
      <c r="A101" s="30" t="n"/>
      <c r="B101" s="30" t="n"/>
      <c r="C101" s="30" t="n"/>
      <c r="D101" s="30" t="n"/>
      <c r="E101" s="30" t="n"/>
      <c r="F101" s="30" t="n"/>
      <c r="G101" s="30" t="n"/>
      <c r="H101" s="30" t="n"/>
      <c r="I101" s="30" t="n"/>
      <c r="J101" s="28" t="n"/>
      <c r="K101" s="29" t="n"/>
    </row>
    <row r="102" ht="15" customHeight="1" s="17">
      <c r="A102" s="30" t="n"/>
      <c r="B102" s="30" t="n"/>
      <c r="C102" s="30" t="n"/>
      <c r="D102" s="30" t="n"/>
      <c r="E102" s="30" t="n"/>
      <c r="F102" s="30" t="n"/>
      <c r="G102" s="30" t="n"/>
      <c r="H102" s="30" t="n"/>
      <c r="I102" s="30" t="n"/>
      <c r="J102" s="28" t="n"/>
      <c r="K102" s="29" t="n"/>
    </row>
    <row r="103" ht="15" customHeight="1" s="17">
      <c r="A103" s="30" t="n"/>
      <c r="B103" s="30" t="n"/>
      <c r="C103" s="30" t="n"/>
      <c r="D103" s="30" t="n"/>
      <c r="E103" s="30" t="n"/>
      <c r="F103" s="30" t="n"/>
      <c r="G103" s="30" t="n"/>
      <c r="H103" s="30" t="n"/>
      <c r="I103" s="30" t="n"/>
      <c r="J103" s="28" t="n"/>
      <c r="K103" s="29" t="n"/>
    </row>
    <row r="104" ht="15" customHeight="1" s="17">
      <c r="A104" s="30" t="n"/>
      <c r="B104" s="30" t="n"/>
      <c r="C104" s="30" t="n"/>
      <c r="D104" s="30" t="n"/>
      <c r="E104" s="30" t="n"/>
      <c r="F104" s="30" t="n"/>
      <c r="G104" s="30" t="n"/>
      <c r="H104" s="30" t="n"/>
      <c r="I104" s="30" t="n"/>
      <c r="J104" s="28" t="n"/>
      <c r="K104" s="29" t="n"/>
    </row>
    <row r="105" ht="15" customHeight="1" s="17">
      <c r="A105" s="30" t="n"/>
      <c r="B105" s="30" t="n"/>
      <c r="C105" s="30" t="n"/>
      <c r="D105" s="30" t="n"/>
      <c r="E105" s="30" t="n"/>
      <c r="F105" s="30" t="n"/>
      <c r="G105" s="30" t="n"/>
      <c r="H105" s="30" t="n"/>
      <c r="I105" s="30" t="n"/>
      <c r="J105" s="28" t="n"/>
      <c r="K105" s="29" t="n"/>
    </row>
    <row r="106" ht="15" customHeight="1" s="17">
      <c r="A106" s="30" t="n"/>
      <c r="B106" s="30" t="n"/>
      <c r="C106" s="30" t="n"/>
      <c r="D106" s="30" t="n"/>
      <c r="E106" s="30" t="n"/>
      <c r="F106" s="30" t="n"/>
      <c r="G106" s="30" t="n"/>
      <c r="H106" s="30" t="n"/>
      <c r="I106" s="30" t="n"/>
      <c r="J106" s="28" t="n"/>
      <c r="K106" s="29" t="n"/>
    </row>
  </sheetData>
  <autoFilter ref="A1:K106"/>
  <conditionalFormatting sqref="F2:F106">
    <cfRule type="expression" rank="0" priority="2" equalAverage="0" aboveAverage="0" dxfId="7" text="" percent="0" bottom="0">
      <formula>$F2="Include"</formula>
    </cfRule>
    <cfRule type="expression" rank="0" priority="3" equalAverage="0" aboveAverage="0" dxfId="8" text="" percent="0" bottom="0">
      <formula>$F2="Optional"</formula>
    </cfRule>
    <cfRule type="expression" rank="0" priority="4" equalAverage="0" aboveAverage="0" dxfId="9" text="" percent="0" bottom="0">
      <formula>$F2="Alternate"</formula>
    </cfRule>
    <cfRule type="expression" rank="0" priority="5" equalAverage="0" aboveAverage="0" dxfId="10" text="" percent="0" bottom="0">
      <formula>$F2="Review"</formula>
    </cfRule>
  </conditionalFormatting>
  <dataValidations count="3">
    <dataValidation sqref="C2:C106" showDropDown="0" showInputMessage="0" showErrorMessage="0" allowBlank="1" type="list" errorStyle="stop" operator="between">
      <formula1>Categories!$B$2:$B$9</formula1>
      <formula2>0</formula2>
    </dataValidation>
    <dataValidation sqref="E2:E106" showDropDown="0" showInputMessage="0" showErrorMessage="0" allowBlank="1" type="list" errorStyle="stop" operator="between">
      <formula1>Lists!$A$2:$A$6</formula1>
      <formula2>0</formula2>
    </dataValidation>
    <dataValidation sqref="F2:F106" showDropDown="0" showInputMessage="0" showErrorMessage="0" allowBlank="1" type="list" errorStyle="stop" operator="between">
      <formula1>Lists!$B$2:$B$5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tabColor rgb="FF6AA84F"/>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16" min="1" max="1"/>
    <col width="28" customWidth="1" style="16" min="2" max="2"/>
    <col width="7" customWidth="1" style="16" min="3" max="3"/>
    <col width="70" customWidth="1" style="16" min="4" max="4"/>
    <col width="12" customWidth="1" style="16" min="5" max="5"/>
    <col width="14" customWidth="1" style="16" min="6" max="6"/>
    <col width="12" customWidth="1" style="16" min="7" max="7"/>
    <col width="14" customWidth="1" style="16" min="8" max="8"/>
  </cols>
  <sheetData>
    <row r="1" ht="31.5" customHeight="1" s="17">
      <c r="A1" s="23" t="inlineStr">
        <is>
          <t>Button Order</t>
        </is>
      </c>
      <c r="B1" s="23" t="inlineStr">
        <is>
          <t>Button Label</t>
        </is>
      </c>
      <c r="C1" s="23" t="inlineStr">
        <is>
          <t>Icon</t>
        </is>
      </c>
      <c r="D1" s="23" t="inlineStr">
        <is>
          <t>Button Description</t>
        </is>
      </c>
      <c r="E1" s="23" t="inlineStr">
        <is>
          <t>Sector Benchmark</t>
        </is>
      </c>
      <c r="F1" s="23" t="inlineStr">
        <is>
          <t>Stocks Shown (Include)</t>
        </is>
      </c>
      <c r="G1" s="23" t="inlineStr">
        <is>
          <t>Also-In Badges</t>
        </is>
      </c>
      <c r="H1" s="23" t="inlineStr">
        <is>
          <t>Optional / Alternate</t>
        </is>
      </c>
    </row>
    <row r="2" ht="23.25" customHeight="1" s="17">
      <c r="A2" s="27" t="n">
        <v>1</v>
      </c>
      <c r="B2" s="31" t="inlineStr">
        <is>
          <t>Law Enforcement</t>
        </is>
      </c>
      <c r="C2" s="27" t="inlineStr">
        <is>
          <t>🚔</t>
        </is>
      </c>
      <c r="D2" s="26" t="inlineStr">
        <is>
          <t>Gear, radios and vehicles behind policing. (Most police employers are governments, so there's no 'employer' stock here.)</t>
        </is>
      </c>
      <c r="E2" s="27" t="inlineStr">
        <is>
          <t>SPY</t>
        </is>
      </c>
      <c r="F2" s="32">
        <f>COUNTIFS(Stocks!$C$2:$C$106,B2,Stocks!$F$2:$F$106,"Include")</f>
        <v/>
      </c>
      <c r="G2" s="32">
        <f>COUNTIFS(Stocks!$D$2:$D$106,"*"&amp;B2&amp;"*",Stocks!$F$2:$F$106,"Include")</f>
        <v/>
      </c>
      <c r="H2" s="32">
        <f>COUNTIFS(Stocks!$C$2:$C$106,B2,Stocks!$F$2:$F$106,"Optional")+COUNTIFS(Stocks!$C$2:$C$106,B2,Stocks!$F$2:$F$106,"Alternate")</f>
        <v/>
      </c>
    </row>
    <row r="3" ht="15" customHeight="1" s="17">
      <c r="A3" s="27" t="n">
        <v>2</v>
      </c>
      <c r="B3" s="31" t="inlineStr">
        <is>
          <t>Cosmetology</t>
        </is>
      </c>
      <c r="C3" s="27" t="inlineStr">
        <is>
          <t>💇</t>
        </is>
      </c>
      <c r="D3" s="26" t="inlineStr">
        <is>
          <t>Product makers, supply stores and salon chains.</t>
        </is>
      </c>
      <c r="E3" s="27" t="inlineStr">
        <is>
          <t>XLP</t>
        </is>
      </c>
      <c r="F3" s="32">
        <f>COUNTIFS(Stocks!$C$2:$C$106,B3,Stocks!$F$2:$F$106,"Include")</f>
        <v/>
      </c>
      <c r="G3" s="32">
        <f>COUNTIFS(Stocks!$D$2:$D$106,"*"&amp;B3&amp;"*",Stocks!$F$2:$F$106,"Include")</f>
        <v/>
      </c>
      <c r="H3" s="32">
        <f>COUNTIFS(Stocks!$C$2:$C$106,B3,Stocks!$F$2:$F$106,"Optional")+COUNTIFS(Stocks!$C$2:$C$106,B3,Stocks!$F$2:$F$106,"Alternate")</f>
        <v/>
      </c>
    </row>
    <row r="4" ht="15" customHeight="1" s="17">
      <c r="A4" s="27" t="n">
        <v>3</v>
      </c>
      <c r="B4" s="31" t="inlineStr">
        <is>
          <t>HVAC</t>
        </is>
      </c>
      <c r="C4" s="27" t="inlineStr">
        <is>
          <t>❄️</t>
        </is>
      </c>
      <c r="D4" s="26" t="inlineStr">
        <is>
          <t>Equipment makers, the distributor techs buy from, and a contractor that hires.</t>
        </is>
      </c>
      <c r="E4" s="27" t="inlineStr">
        <is>
          <t>XLI</t>
        </is>
      </c>
      <c r="F4" s="32">
        <f>COUNTIFS(Stocks!$C$2:$C$106,B4,Stocks!$F$2:$F$106,"Include")</f>
        <v/>
      </c>
      <c r="G4" s="32">
        <f>COUNTIFS(Stocks!$D$2:$D$106,"*"&amp;B4&amp;"*",Stocks!$F$2:$F$106,"Include")</f>
        <v/>
      </c>
      <c r="H4" s="32">
        <f>COUNTIFS(Stocks!$C$2:$C$106,B4,Stocks!$F$2:$F$106,"Optional")+COUNTIFS(Stocks!$C$2:$C$106,B4,Stocks!$F$2:$F$106,"Alternate")</f>
        <v/>
      </c>
    </row>
    <row r="5" ht="15" customHeight="1" s="17">
      <c r="A5" s="27" t="n">
        <v>4</v>
      </c>
      <c r="B5" s="31" t="inlineStr">
        <is>
          <t>P-Tech / IT</t>
        </is>
      </c>
      <c r="C5" s="27" t="inlineStr">
        <is>
          <t>💻</t>
        </is>
      </c>
      <c r="D5" s="26" t="inlineStr">
        <is>
          <t>Software, networking, chips and cybersecurity.</t>
        </is>
      </c>
      <c r="E5" s="27" t="inlineStr">
        <is>
          <t>XLK</t>
        </is>
      </c>
      <c r="F5" s="32">
        <f>COUNTIFS(Stocks!$C$2:$C$106,B5,Stocks!$F$2:$F$106,"Include")</f>
        <v/>
      </c>
      <c r="G5" s="32">
        <f>COUNTIFS(Stocks!$D$2:$D$106,"*"&amp;B5&amp;"*",Stocks!$F$2:$F$106,"Include")</f>
        <v/>
      </c>
      <c r="H5" s="32">
        <f>COUNTIFS(Stocks!$C$2:$C$106,B5,Stocks!$F$2:$F$106,"Optional")+COUNTIFS(Stocks!$C$2:$C$106,B5,Stocks!$F$2:$F$106,"Alternate")</f>
        <v/>
      </c>
    </row>
    <row r="6" ht="15" customHeight="1" s="17">
      <c r="A6" s="27" t="n">
        <v>5</v>
      </c>
      <c r="B6" s="31" t="inlineStr">
        <is>
          <t>Engineering / Manufacturing</t>
        </is>
      </c>
      <c r="C6" s="27" t="inlineStr">
        <is>
          <t>⚙️</t>
        </is>
      </c>
      <c r="D6" s="26" t="inlineStr">
        <is>
          <t>Heavy equipment, automation, welding and industrial supply.</t>
        </is>
      </c>
      <c r="E6" s="27" t="inlineStr">
        <is>
          <t>XLI</t>
        </is>
      </c>
      <c r="F6" s="32">
        <f>COUNTIFS(Stocks!$C$2:$C$106,B6,Stocks!$F$2:$F$106,"Include")</f>
        <v/>
      </c>
      <c r="G6" s="32">
        <f>COUNTIFS(Stocks!$D$2:$D$106,"*"&amp;B6&amp;"*",Stocks!$F$2:$F$106,"Include")</f>
        <v/>
      </c>
      <c r="H6" s="32">
        <f>COUNTIFS(Stocks!$C$2:$C$106,B6,Stocks!$F$2:$F$106,"Optional")+COUNTIFS(Stocks!$C$2:$C$106,B6,Stocks!$F$2:$F$106,"Alternate")</f>
        <v/>
      </c>
    </row>
    <row r="7" ht="15" customHeight="1" s="17">
      <c r="A7" s="27" t="n">
        <v>6</v>
      </c>
      <c r="B7" s="31" t="inlineStr">
        <is>
          <t>Carpentry</t>
        </is>
      </c>
      <c r="C7" s="27" t="inlineStr">
        <is>
          <t>🪚</t>
        </is>
      </c>
      <c r="D7" s="26" t="inlineStr">
        <is>
          <t>Lumber, tools, home-improvement retail and building products.</t>
        </is>
      </c>
      <c r="E7" s="27" t="inlineStr">
        <is>
          <t>XHB</t>
        </is>
      </c>
      <c r="F7" s="32">
        <f>COUNTIFS(Stocks!$C$2:$C$106,B7,Stocks!$F$2:$F$106,"Include")</f>
        <v/>
      </c>
      <c r="G7" s="32">
        <f>COUNTIFS(Stocks!$D$2:$D$106,"*"&amp;B7&amp;"*",Stocks!$F$2:$F$106,"Include")</f>
        <v/>
      </c>
      <c r="H7" s="32">
        <f>COUNTIFS(Stocks!$C$2:$C$106,B7,Stocks!$F$2:$F$106,"Optional")+COUNTIFS(Stocks!$C$2:$C$106,B7,Stocks!$F$2:$F$106,"Alternate")</f>
        <v/>
      </c>
    </row>
    <row r="8" ht="15" customHeight="1" s="17">
      <c r="A8" s="27" t="n">
        <v>7</v>
      </c>
      <c r="B8" s="31" t="inlineStr">
        <is>
          <t>Auto-Tech / AutoBody</t>
        </is>
      </c>
      <c r="C8" s="27" t="inlineStr">
        <is>
          <t>🚗</t>
        </is>
      </c>
      <c r="D8" s="26" t="inlineStr">
        <is>
          <t>Automakers, tools, parts and refinish paint.</t>
        </is>
      </c>
      <c r="E8" s="27" t="inlineStr">
        <is>
          <t>XLY</t>
        </is>
      </c>
      <c r="F8" s="32">
        <f>COUNTIFS(Stocks!$C$2:$C$106,B8,Stocks!$F$2:$F$106,"Include")</f>
        <v/>
      </c>
      <c r="G8" s="32">
        <f>COUNTIFS(Stocks!$D$2:$D$106,"*"&amp;B8&amp;"*",Stocks!$F$2:$F$106,"Include")</f>
        <v/>
      </c>
      <c r="H8" s="32">
        <f>COUNTIFS(Stocks!$C$2:$C$106,B8,Stocks!$F$2:$F$106,"Optional")+COUNTIFS(Stocks!$C$2:$C$106,B8,Stocks!$F$2:$F$106,"Alternate")</f>
        <v/>
      </c>
    </row>
    <row r="9" ht="15" customHeight="1" s="17">
      <c r="A9" s="27" t="n">
        <v>8</v>
      </c>
      <c r="B9" s="31" t="inlineStr">
        <is>
          <t>Electrical</t>
        </is>
      </c>
      <c r="C9" s="27" t="inlineStr">
        <is>
          <t>⚡</t>
        </is>
      </c>
      <c r="D9" s="26" t="inlineStr">
        <is>
          <t>Power equipment, wiring, generators and grid work.</t>
        </is>
      </c>
      <c r="E9" s="27" t="inlineStr">
        <is>
          <t>XLI</t>
        </is>
      </c>
      <c r="F9" s="32">
        <f>COUNTIFS(Stocks!$C$2:$C$106,B9,Stocks!$F$2:$F$106,"Include")</f>
        <v/>
      </c>
      <c r="G9" s="32">
        <f>COUNTIFS(Stocks!$D$2:$D$106,"*"&amp;B9&amp;"*",Stocks!$F$2:$F$106,"Include")</f>
        <v/>
      </c>
      <c r="H9" s="32">
        <f>COUNTIFS(Stocks!$C$2:$C$106,B9,Stocks!$F$2:$F$106,"Optional")+COUNTIFS(Stocks!$C$2:$C$106,B9,Stocks!$F$2:$F$106,"Alternate")</f>
        <v/>
      </c>
    </row>
    <row r="10" ht="15" customHeight="1" s="17">
      <c r="B10" s="33" t="inlineStr">
        <is>
          <t>Total</t>
        </is>
      </c>
      <c r="F10" s="34">
        <f>SUM(F2:F9)</f>
        <v/>
      </c>
      <c r="G10" s="34">
        <f>SUM(G2:G9)</f>
        <v/>
      </c>
      <c r="H10" s="34">
        <f>SUM(H2:H9)</f>
        <v/>
      </c>
    </row>
    <row r="12" ht="15" customHeight="1" s="17">
      <c r="B12" s="33" t="inlineStr">
        <is>
          <t>Site-wide benchmark</t>
        </is>
      </c>
      <c r="D12" s="35" t="inlineStr">
        <is>
          <t>SPY (S&amp;P 500) — shown on every trade page for comparison.</t>
        </is>
      </c>
    </row>
    <row r="13" ht="15" customHeight="1" s="17">
      <c r="B13" s="33" t="inlineStr">
        <is>
          <t>Unique tickers (all statuses)</t>
        </is>
      </c>
      <c r="D13" s="36">
        <f>SUMPRODUCT((Stocks!$A$2:$A$106&lt;&gt;"")/COUNTIF(Stocks!$A$2:$A$106,Stocks!$A$2:$A$106&amp;""))</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6" min="1" max="1"/>
    <col width="14" customWidth="1" style="16" min="2" max="2"/>
  </cols>
  <sheetData>
    <row r="1" ht="15" customHeight="1" s="17">
      <c r="A1" s="33" t="inlineStr">
        <is>
          <t>Roles</t>
        </is>
      </c>
      <c r="B1" s="33" t="inlineStr">
        <is>
          <t>Status</t>
        </is>
      </c>
    </row>
    <row r="2" ht="15" customHeight="1" s="17">
      <c r="A2" s="35" t="inlineStr">
        <is>
          <t>Giant</t>
        </is>
      </c>
      <c r="B2" s="35" t="inlineStr">
        <is>
          <t>Include</t>
        </is>
      </c>
    </row>
    <row r="3" ht="15" customHeight="1" s="17">
      <c r="A3" s="35" t="inlineStr">
        <is>
          <t>Tools/Supplies</t>
        </is>
      </c>
      <c r="B3" s="35" t="inlineStr">
        <is>
          <t>Optional</t>
        </is>
      </c>
    </row>
    <row r="4" ht="15" customHeight="1" s="17">
      <c r="A4" s="35" t="inlineStr">
        <is>
          <t>Distributor</t>
        </is>
      </c>
      <c r="B4" s="35" t="inlineStr">
        <is>
          <t>Alternate</t>
        </is>
      </c>
    </row>
    <row r="5" ht="15" customHeight="1" s="17">
      <c r="A5" s="35" t="inlineStr">
        <is>
          <t>Employer</t>
        </is>
      </c>
      <c r="B5" s="35" t="inlineStr">
        <is>
          <t>Review</t>
        </is>
      </c>
    </row>
    <row r="6" ht="15" customHeight="1" s="17">
      <c r="A6" s="35" t="inlineStr">
        <is>
          <t>Wildcard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2026-10-29T22:50:24Z</dcterms:created>
  <dcterms:modified xmlns:dcterms="http://purl.org/dc/terms/" xmlns:xsi="http://www.w3.org/2001/XMLSchema-instance" xsi:type="dcterms:W3CDTF">2026-10-29T23:20:36Z</dcterms:modified>
  <cp:revision>0</cp:revision>
</cp:coreProperties>
</file>